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5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6F\EXCELCNV\ddd025f9-fd45-435c-877a-3c2f397d8049\"/>
    </mc:Choice>
  </mc:AlternateContent>
  <xr:revisionPtr revIDLastSave="0" documentId="8_{9A008D76-F9D7-46D1-A7EB-BF86566AE0BB}" xr6:coauthVersionLast="47" xr6:coauthVersionMax="47" xr10:uidLastSave="{00000000-0000-0000-0000-000000000000}"/>
  <bookViews>
    <workbookView xWindow="-60" yWindow="-60" windowWidth="15480" windowHeight="11640" firstSheet="4" activeTab="4" xr2:uid="{00000000-000D-0000-FFFF-FFFF00000000}"/>
  </bookViews>
  <sheets>
    <sheet name="Customers" sheetId="1" r:id="rId1"/>
    <sheet name="Orders" sheetId="2" r:id="rId2"/>
    <sheet name="Products" sheetId="3" r:id="rId3"/>
    <sheet name="Analysis" sheetId="13" r:id="rId4"/>
    <sheet name="Dashboard" sheetId="14" r:id="rId5"/>
    <sheet name="Revenu by Category" sheetId="4" r:id="rId6"/>
    <sheet name="Top 10 Customers by Revenue" sheetId="7" r:id="rId7"/>
    <sheet name="Top 10 Products" sheetId="6" r:id="rId8"/>
    <sheet name="Revenue Above ₹100000" sheetId="12" r:id="rId9"/>
    <sheet name="Revenue by Customer" sheetId="11" r:id="rId10"/>
    <sheet name="Top 10  Quantity Sold" sheetId="10" r:id="rId11"/>
    <sheet name="Revenu by Month" sheetId="5" r:id="rId12"/>
    <sheet name="Orders by Month" sheetId="8" r:id="rId13"/>
    <sheet name="Monthly Average Order Value " sheetId="9" r:id="rId14"/>
  </sheets>
  <calcPr calcId="191028"/>
  <pivotCaches>
    <pivotCache cacheId="4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7" l="1"/>
  <c r="E37" i="13"/>
  <c r="E38" i="13"/>
  <c r="E39" i="13"/>
  <c r="E40" i="13"/>
  <c r="E41" i="13"/>
  <c r="E42" i="13"/>
  <c r="E43" i="13"/>
  <c r="E44" i="13"/>
  <c r="E45" i="13"/>
  <c r="E36" i="13"/>
  <c r="C144" i="13"/>
  <c r="C143" i="13"/>
  <c r="C142" i="13"/>
  <c r="C141" i="13"/>
  <c r="C140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09" i="13"/>
  <c r="C108" i="13"/>
  <c r="C107" i="13"/>
  <c r="C106" i="13"/>
  <c r="C105" i="13"/>
  <c r="C104" i="13"/>
  <c r="C103" i="13"/>
  <c r="C102" i="13"/>
  <c r="C101" i="13"/>
  <c r="C100" i="13"/>
  <c r="C99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C5" i="12"/>
  <c r="C6" i="12"/>
  <c r="C7" i="12"/>
  <c r="C8" i="12"/>
  <c r="C4" i="12"/>
  <c r="C5" i="10"/>
  <c r="C6" i="10"/>
  <c r="C7" i="10"/>
  <c r="C8" i="10"/>
  <c r="C9" i="10"/>
  <c r="C10" i="10"/>
  <c r="C11" i="10"/>
  <c r="C12" i="10"/>
  <c r="C13" i="10"/>
  <c r="C14" i="10"/>
  <c r="C4" i="10"/>
  <c r="D5" i="9"/>
  <c r="D6" i="9"/>
  <c r="D7" i="9"/>
  <c r="D8" i="9"/>
  <c r="D9" i="9"/>
  <c r="D10" i="9"/>
  <c r="D11" i="9"/>
  <c r="D12" i="9"/>
  <c r="D13" i="9"/>
  <c r="D14" i="9"/>
  <c r="D15" i="9"/>
  <c r="D16" i="9"/>
  <c r="D4" i="9"/>
  <c r="C5" i="7"/>
  <c r="C6" i="7"/>
  <c r="C7" i="7"/>
  <c r="C8" i="7"/>
  <c r="C9" i="7"/>
  <c r="C10" i="7"/>
  <c r="C11" i="7"/>
  <c r="C12" i="7"/>
  <c r="C13" i="7"/>
  <c r="E11" i="6"/>
  <c r="E10" i="6"/>
  <c r="E9" i="6"/>
  <c r="E8" i="6"/>
  <c r="E7" i="6"/>
  <c r="E6" i="6"/>
  <c r="E5" i="6"/>
  <c r="E4" i="6"/>
  <c r="E3" i="6"/>
  <c r="E2" i="6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2" i="2"/>
  <c r="G2" i="2" s="1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E12" i="3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E24" i="3" s="1"/>
  <c r="F51" i="2"/>
  <c r="G51" i="2" s="1"/>
  <c r="F50" i="2"/>
  <c r="G50" i="2" s="1"/>
  <c r="F49" i="2"/>
  <c r="G49" i="2" s="1"/>
  <c r="E9" i="3" s="1"/>
  <c r="F48" i="2"/>
  <c r="G48" i="2" s="1"/>
  <c r="F47" i="2"/>
  <c r="G47" i="2" s="1"/>
  <c r="E14" i="3" s="1"/>
  <c r="F46" i="2"/>
  <c r="G46" i="2" s="1"/>
  <c r="E8" i="3" s="1"/>
  <c r="F45" i="2"/>
  <c r="G45" i="2" s="1"/>
  <c r="E19" i="3" s="1"/>
  <c r="F44" i="2"/>
  <c r="G44" i="2" s="1"/>
  <c r="F43" i="2"/>
  <c r="G43" i="2" s="1"/>
  <c r="F42" i="2"/>
  <c r="G42" i="2" s="1"/>
  <c r="F41" i="2"/>
  <c r="G41" i="2" s="1"/>
  <c r="E26" i="3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E4" i="3" s="1"/>
  <c r="F32" i="2"/>
  <c r="G32" i="2" s="1"/>
  <c r="F31" i="2"/>
  <c r="G31" i="2" s="1"/>
  <c r="F30" i="2"/>
  <c r="G30" i="2" s="1"/>
  <c r="E11" i="3" s="1"/>
  <c r="F29" i="2"/>
  <c r="G29" i="2" s="1"/>
  <c r="F28" i="2"/>
  <c r="G28" i="2" s="1"/>
  <c r="F27" i="2"/>
  <c r="G27" i="2" s="1"/>
  <c r="F26" i="2"/>
  <c r="G26" i="2" s="1"/>
  <c r="F25" i="2"/>
  <c r="G25" i="2" s="1"/>
  <c r="E6" i="3" s="1"/>
  <c r="F24" i="2"/>
  <c r="G24" i="2" s="1"/>
  <c r="E20" i="3" s="1"/>
  <c r="F23" i="2"/>
  <c r="G23" i="2" s="1"/>
  <c r="E2" i="3" s="1"/>
  <c r="F22" i="2"/>
  <c r="G22" i="2" s="1"/>
  <c r="F21" i="2"/>
  <c r="G21" i="2" s="1"/>
  <c r="E16" i="3" s="1"/>
  <c r="F20" i="2"/>
  <c r="G20" i="2" s="1"/>
  <c r="E17" i="3" s="1"/>
  <c r="F19" i="2"/>
  <c r="G19" i="2" s="1"/>
  <c r="E23" i="3" s="1"/>
  <c r="F18" i="2"/>
  <c r="G18" i="2" s="1"/>
  <c r="F17" i="2"/>
  <c r="G17" i="2" s="1"/>
  <c r="E5" i="3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E15" i="3" s="1"/>
  <c r="F10" i="2"/>
  <c r="G10" i="2" s="1"/>
  <c r="E21" i="3" s="1"/>
  <c r="F9" i="2"/>
  <c r="G9" i="2" s="1"/>
  <c r="E25" i="3" s="1"/>
  <c r="F8" i="2"/>
  <c r="G8" i="2" s="1"/>
  <c r="E7" i="3" s="1"/>
  <c r="F7" i="2"/>
  <c r="G7" i="2" s="1"/>
  <c r="F6" i="2"/>
  <c r="G6" i="2" s="1"/>
  <c r="E3" i="3" s="1"/>
  <c r="F5" i="2"/>
  <c r="G5" i="2" s="1"/>
  <c r="E10" i="3" s="1"/>
  <c r="F4" i="2"/>
  <c r="G4" i="2" s="1"/>
  <c r="E22" i="3" s="1"/>
  <c r="F3" i="2"/>
  <c r="G3" i="2" s="1"/>
  <c r="E18" i="3" s="1"/>
  <c r="E13" i="3" l="1"/>
  <c r="G152" i="2"/>
</calcChain>
</file>

<file path=xl/sharedStrings.xml><?xml version="1.0" encoding="utf-8"?>
<sst xmlns="http://schemas.openxmlformats.org/spreadsheetml/2006/main" count="298" uniqueCount="122">
  <si>
    <t>customer_id</t>
  </si>
  <si>
    <t>customer_name</t>
  </si>
  <si>
    <t>city</t>
  </si>
  <si>
    <t>signup_date</t>
  </si>
  <si>
    <t>Aarav Shah</t>
  </si>
  <si>
    <t>Mumbai</t>
  </si>
  <si>
    <t>Diya Patel</t>
  </si>
  <si>
    <t>Ahmedabad</t>
  </si>
  <si>
    <t>3/23/2025</t>
  </si>
  <si>
    <t>Rohan Mehta</t>
  </si>
  <si>
    <t>Pune</t>
  </si>
  <si>
    <t>12/24/2025</t>
  </si>
  <si>
    <t>Ananya Joshi</t>
  </si>
  <si>
    <t>Bengaluru</t>
  </si>
  <si>
    <t>Vivaan Desai</t>
  </si>
  <si>
    <t>6/24/2025</t>
  </si>
  <si>
    <t>Isha Shah</t>
  </si>
  <si>
    <t>Delhi</t>
  </si>
  <si>
    <t>5/23/2025</t>
  </si>
  <si>
    <t>Aditya Patel</t>
  </si>
  <si>
    <t>3/21/2025</t>
  </si>
  <si>
    <t>Meera Mehta</t>
  </si>
  <si>
    <t>4/21/2025</t>
  </si>
  <si>
    <t>Arjun Desai</t>
  </si>
  <si>
    <t>Jaipur</t>
  </si>
  <si>
    <t>6/22/2025</t>
  </si>
  <si>
    <t>Kiara Joshi</t>
  </si>
  <si>
    <t>2/22/2025</t>
  </si>
  <si>
    <t>Kabir Shah</t>
  </si>
  <si>
    <t>2/17/2025</t>
  </si>
  <si>
    <t>Riya Patel</t>
  </si>
  <si>
    <t>7/14/2025</t>
  </si>
  <si>
    <t>Dev Mehta</t>
  </si>
  <si>
    <t>2/19/2025</t>
  </si>
  <si>
    <t>Sara Desai</t>
  </si>
  <si>
    <t>Neil Joshi</t>
  </si>
  <si>
    <t>6/26/2025</t>
  </si>
  <si>
    <t>Tara Shah</t>
  </si>
  <si>
    <t>Yash Patel</t>
  </si>
  <si>
    <t>5/16/2025</t>
  </si>
  <si>
    <t>Nisha Mehta</t>
  </si>
  <si>
    <t>1/23/2025</t>
  </si>
  <si>
    <t>Raj Desai</t>
  </si>
  <si>
    <t>Surat</t>
  </si>
  <si>
    <t>8/24/2025</t>
  </si>
  <si>
    <t>Aanya Joshi</t>
  </si>
  <si>
    <t>order_id</t>
  </si>
  <si>
    <t>product_id</t>
  </si>
  <si>
    <t>order_date</t>
  </si>
  <si>
    <t>quantity</t>
  </si>
  <si>
    <t>Product Price</t>
  </si>
  <si>
    <t>Revenu</t>
  </si>
  <si>
    <t>Category</t>
  </si>
  <si>
    <t>month number</t>
  </si>
  <si>
    <t>Category2</t>
  </si>
  <si>
    <t>product_name</t>
  </si>
  <si>
    <t>category</t>
  </si>
  <si>
    <t>price</t>
  </si>
  <si>
    <t>Total revenue</t>
  </si>
  <si>
    <t>Laptop Pro 14</t>
  </si>
  <si>
    <t>Electronics</t>
  </si>
  <si>
    <t>Office Chair</t>
  </si>
  <si>
    <t>Furniture</t>
  </si>
  <si>
    <t>Air Fryer</t>
  </si>
  <si>
    <t>Home Appliances</t>
  </si>
  <si>
    <t>Dumbbells</t>
  </si>
  <si>
    <t>Sports</t>
  </si>
  <si>
    <t>Study Desk</t>
  </si>
  <si>
    <t>Coffee Maker</t>
  </si>
  <si>
    <t>Bluetooth Headphones</t>
  </si>
  <si>
    <t>Travel Bag</t>
  </si>
  <si>
    <t>Accessories</t>
  </si>
  <si>
    <t>Mechanical Keyboard</t>
  </si>
  <si>
    <t>Bookshelf</t>
  </si>
  <si>
    <t>Smart Watch</t>
  </si>
  <si>
    <t>Backpack</t>
  </si>
  <si>
    <t>Running Shoes</t>
  </si>
  <si>
    <t>Power Bank</t>
  </si>
  <si>
    <t>Jeans</t>
  </si>
  <si>
    <t>Clothing</t>
  </si>
  <si>
    <t>USB-C Hub</t>
  </si>
  <si>
    <t>Table Lamp</t>
  </si>
  <si>
    <t>Jacket</t>
  </si>
  <si>
    <t>Electric Kettle</t>
  </si>
  <si>
    <t>Wallet</t>
  </si>
  <si>
    <t>Wireless Mouse</t>
  </si>
  <si>
    <t>Yoga Mat</t>
  </si>
  <si>
    <t>Phone Stand</t>
  </si>
  <si>
    <t>Hoodie</t>
  </si>
  <si>
    <t>T-Shirt</t>
  </si>
  <si>
    <t>Q1 — Total Revenue</t>
  </si>
  <si>
    <t>₹1,965,300</t>
  </si>
  <si>
    <t>Q2 — Revenue by Category</t>
  </si>
  <si>
    <t>Sum of Revenu</t>
  </si>
  <si>
    <t>Grand Total</t>
  </si>
  <si>
    <t>Q3 — Monthly Revenue</t>
  </si>
  <si>
    <t>Month</t>
  </si>
  <si>
    <t>Q4 — Top 10 Products by Revenue</t>
  </si>
  <si>
    <t>Q5 — Top 10 Customers by Revenue</t>
  </si>
  <si>
    <t>Customer name</t>
  </si>
  <si>
    <t>Q6 — Monthly Order Volume</t>
  </si>
  <si>
    <t>Months</t>
  </si>
  <si>
    <t>Count of order_id</t>
  </si>
  <si>
    <t>Q7 — Monthly Average Order Value (AOV)</t>
  </si>
  <si>
    <t>Order Count</t>
  </si>
  <si>
    <t>AOV</t>
  </si>
  <si>
    <t>Q8 — Top 10 Products by Quantity Sold</t>
  </si>
  <si>
    <t>Sum of quantity</t>
  </si>
  <si>
    <t>Product Name</t>
  </si>
  <si>
    <t>Q9 — Revenue by Customer</t>
  </si>
  <si>
    <t>Customer Name</t>
  </si>
  <si>
    <t>Q10 — Customers with Revenue Above ₹100,000</t>
  </si>
  <si>
    <t xml:space="preserve">       	E-Commerce Sales Analysis Dashboard		</t>
  </si>
  <si>
    <t>Total Revenue</t>
  </si>
  <si>
    <t>Total Orders</t>
  </si>
  <si>
    <t>Average Order Value</t>
  </si>
  <si>
    <t>Total Products</t>
  </si>
  <si>
    <t>Monthly Revenue</t>
  </si>
  <si>
    <t>Revenue by Category</t>
  </si>
  <si>
    <t>Top 10 Products by Revenue</t>
  </si>
  <si>
    <t>Top 10 Customers by Revenue</t>
  </si>
  <si>
    <t>Monthly Order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</si>
</sst>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_ ;_ [$₹-439]* \-#,##0_ ;_ [$₹-439]* &quot;-&quot;_ ;_ @_ "/>
  </numFmts>
  <fonts count="18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4" tint="-0.499984740745262"/>
      <name val="Calibri"/>
      <scheme val="minor"/>
    </font>
    <font>
      <b/>
      <sz val="14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4"/>
      <color theme="4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theme="4" tint="-0.249977111117893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2" fillId="2" borderId="0" xfId="0" applyFont="1" applyFill="1"/>
    <xf numFmtId="0" fontId="1" fillId="0" borderId="0" xfId="0" applyFont="1" applyAlignment="1"/>
    <xf numFmtId="0" fontId="3" fillId="0" borderId="0" xfId="0" applyFont="1" applyFill="1"/>
    <xf numFmtId="0" fontId="4" fillId="0" borderId="1" xfId="0" applyFont="1" applyBorder="1"/>
    <xf numFmtId="0" fontId="2" fillId="3" borderId="2" xfId="0" applyFont="1" applyFill="1" applyBorder="1"/>
    <xf numFmtId="0" fontId="5" fillId="0" borderId="0" xfId="0" applyFont="1"/>
    <xf numFmtId="0" fontId="6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Alignment="1"/>
    <xf numFmtId="0" fontId="0" fillId="0" borderId="0" xfId="0" applyFont="1"/>
    <xf numFmtId="0" fontId="0" fillId="0" borderId="0" xfId="0" applyNumberFormat="1" applyFont="1"/>
    <xf numFmtId="0" fontId="10" fillId="0" borderId="0" xfId="0" applyFont="1"/>
    <xf numFmtId="0" fontId="12" fillId="0" borderId="0" xfId="0" applyFont="1"/>
    <xf numFmtId="0" fontId="0" fillId="0" borderId="0" xfId="0" applyNumberFormat="1" applyAlignment="1">
      <alignment horizontal="center"/>
    </xf>
    <xf numFmtId="0" fontId="0" fillId="0" borderId="0" xfId="0" applyAlignment="1"/>
    <xf numFmtId="0" fontId="2" fillId="3" borderId="2" xfId="0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indent="2"/>
    </xf>
    <xf numFmtId="0" fontId="9" fillId="4" borderId="0" xfId="0" applyFont="1" applyFill="1" applyAlignment="1">
      <alignment indent="2"/>
    </xf>
    <xf numFmtId="0" fontId="13" fillId="4" borderId="0" xfId="0" applyFont="1" applyFill="1" applyAlignment="1">
      <alignment indent="2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164" fontId="10" fillId="6" borderId="11" xfId="0" applyNumberFormat="1" applyFont="1" applyFill="1" applyBorder="1" applyAlignment="1">
      <alignment horizontal="center"/>
    </xf>
    <xf numFmtId="164" fontId="10" fillId="6" borderId="12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164" fontId="10" fillId="7" borderId="5" xfId="0" applyNumberFormat="1" applyFont="1" applyFill="1" applyBorder="1" applyAlignment="1">
      <alignment horizontal="center"/>
    </xf>
    <xf numFmtId="164" fontId="10" fillId="7" borderId="6" xfId="0" applyNumberFormat="1" applyFont="1" applyFill="1" applyBorder="1" applyAlignment="1">
      <alignment horizontal="center"/>
    </xf>
    <xf numFmtId="0" fontId="15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9" fillId="0" borderId="0" xfId="0" applyFont="1" applyFill="1" applyAlignment="1">
      <alignment indent="2"/>
    </xf>
    <xf numFmtId="0" fontId="13" fillId="0" borderId="0" xfId="0" applyFont="1" applyFill="1" applyAlignment="1">
      <alignment indent="2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90100</c:v>
              </c:pt>
              <c:pt idx="1">
                <c:v>136500</c:v>
              </c:pt>
              <c:pt idx="2">
                <c:v>194100</c:v>
              </c:pt>
              <c:pt idx="3">
                <c:v>81700</c:v>
              </c:pt>
              <c:pt idx="4">
                <c:v>233900</c:v>
              </c:pt>
              <c:pt idx="5">
                <c:v>320900</c:v>
              </c:pt>
              <c:pt idx="6">
                <c:v>271000</c:v>
              </c:pt>
              <c:pt idx="7">
                <c:v>123600</c:v>
              </c:pt>
              <c:pt idx="8">
                <c:v>204200</c:v>
              </c:pt>
              <c:pt idx="9">
                <c:v>80200</c:v>
              </c:pt>
              <c:pt idx="10">
                <c:v>62900</c:v>
              </c:pt>
              <c:pt idx="11">
                <c:v>166200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088-4F51-86CE-07F87AE89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743176"/>
        <c:axId val="1333790216"/>
      </c:lineChart>
      <c:catAx>
        <c:axId val="1332743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90216"/>
        <c:crosses val="autoZero"/>
        <c:auto val="1"/>
        <c:lblAlgn val="ctr"/>
        <c:lblOffset val="100"/>
        <c:noMultiLvlLbl val="0"/>
      </c:catAx>
      <c:valAx>
        <c:axId val="133379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43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Analysis.xlsx.xlsx]Revenu by Category!PivotTable2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 by Category'!$A$4:$A$10</c:f>
              <c:strCache>
                <c:ptCount val="6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'Revenu by Category'!$B$4:$B$10</c:f>
              <c:numCache>
                <c:formatCode>General</c:formatCode>
                <c:ptCount val="6"/>
                <c:pt idx="0">
                  <c:v>131500</c:v>
                </c:pt>
                <c:pt idx="1">
                  <c:v>85100</c:v>
                </c:pt>
                <c:pt idx="2">
                  <c:v>1067700</c:v>
                </c:pt>
                <c:pt idx="3">
                  <c:v>358900</c:v>
                </c:pt>
                <c:pt idx="4">
                  <c:v>186000</c:v>
                </c:pt>
                <c:pt idx="5">
                  <c:v>136100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8-47DA-935B-EC3613DF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0591624"/>
        <c:axId val="1500593672"/>
      </c:barChart>
      <c:catAx>
        <c:axId val="1500591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93672"/>
        <c:crosses val="autoZero"/>
        <c:auto val="1"/>
        <c:lblAlgn val="ctr"/>
        <c:lblOffset val="100"/>
        <c:noMultiLvlLbl val="0"/>
      </c:catAx>
      <c:valAx>
        <c:axId val="1500593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91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Products'!$E$1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Products'!$B$2:$B$11</c:f>
              <c:strCache>
                <c:ptCount val="10"/>
                <c:pt idx="0">
                  <c:v>Laptop Pro 14</c:v>
                </c:pt>
                <c:pt idx="1">
                  <c:v>Office Chair</c:v>
                </c:pt>
                <c:pt idx="2">
                  <c:v>Air Fryer</c:v>
                </c:pt>
                <c:pt idx="3">
                  <c:v>Dumbbells</c:v>
                </c:pt>
                <c:pt idx="4">
                  <c:v>Study Desk</c:v>
                </c:pt>
                <c:pt idx="5">
                  <c:v>Coffee Maker</c:v>
                </c:pt>
                <c:pt idx="6">
                  <c:v>Bluetooth Headphones</c:v>
                </c:pt>
                <c:pt idx="7">
                  <c:v>Travel Bag</c:v>
                </c:pt>
                <c:pt idx="8">
                  <c:v>Mechanical Keyboard</c:v>
                </c:pt>
                <c:pt idx="9">
                  <c:v>Bookshelf</c:v>
                </c:pt>
              </c:strCache>
            </c:strRef>
          </c:cat>
          <c:val>
            <c:numRef>
              <c:f>'Top 10 Products'!$E$2:$E$11</c:f>
              <c:numCache>
                <c:formatCode>General</c:formatCode>
                <c:ptCount val="10"/>
                <c:pt idx="0">
                  <c:v>780000</c:v>
                </c:pt>
                <c:pt idx="1">
                  <c:v>204000</c:v>
                </c:pt>
                <c:pt idx="2">
                  <c:v>93000</c:v>
                </c:pt>
                <c:pt idx="3">
                  <c:v>72500</c:v>
                </c:pt>
                <c:pt idx="4">
                  <c:v>66500</c:v>
                </c:pt>
                <c:pt idx="5">
                  <c:v>66000</c:v>
                </c:pt>
                <c:pt idx="6">
                  <c:v>63000</c:v>
                </c:pt>
                <c:pt idx="7">
                  <c:v>57600</c:v>
                </c:pt>
                <c:pt idx="8">
                  <c:v>56000</c:v>
                </c:pt>
                <c:pt idx="9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E-4BCB-B889-71ED66FC0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7023112"/>
        <c:axId val="1407037960"/>
      </c:barChart>
      <c:catAx>
        <c:axId val="1407023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37960"/>
        <c:crosses val="autoZero"/>
        <c:auto val="1"/>
        <c:lblAlgn val="ctr"/>
        <c:lblOffset val="100"/>
        <c:noMultiLvlLbl val="0"/>
      </c:catAx>
      <c:valAx>
        <c:axId val="140703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023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Analysis!$D$49</c:f>
              <c:strCache>
                <c:ptCount val="1"/>
                <c:pt idx="0">
                  <c:v>Revenu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Analysis!$C$50:$C$59</c:f>
              <c:strCache>
                <c:ptCount val="10"/>
                <c:pt idx="0">
                  <c:v>Tara Shah</c:v>
                </c:pt>
                <c:pt idx="1">
                  <c:v>Nisha Mehta</c:v>
                </c:pt>
                <c:pt idx="2">
                  <c:v>Neil Joshi</c:v>
                </c:pt>
                <c:pt idx="3">
                  <c:v>Dev Mehta</c:v>
                </c:pt>
                <c:pt idx="4">
                  <c:v>Sara Desai</c:v>
                </c:pt>
                <c:pt idx="5">
                  <c:v>Meera Mehta</c:v>
                </c:pt>
                <c:pt idx="6">
                  <c:v>Riya Patel</c:v>
                </c:pt>
                <c:pt idx="7">
                  <c:v>Vivaan Desai</c:v>
                </c:pt>
                <c:pt idx="8">
                  <c:v>Isha Shah</c:v>
                </c:pt>
                <c:pt idx="9">
                  <c:v>Arjun Desai</c:v>
                </c:pt>
              </c:strCache>
            </c:strRef>
          </c:cat>
          <c:val>
            <c:numRef>
              <c:f>Analysis!$D$50:$D$59</c:f>
              <c:numCache>
                <c:formatCode>General</c:formatCode>
                <c:ptCount val="10"/>
                <c:pt idx="0">
                  <c:v>413500</c:v>
                </c:pt>
                <c:pt idx="1">
                  <c:v>244700</c:v>
                </c:pt>
                <c:pt idx="2">
                  <c:v>238600</c:v>
                </c:pt>
                <c:pt idx="3">
                  <c:v>172900</c:v>
                </c:pt>
                <c:pt idx="4">
                  <c:v>158900</c:v>
                </c:pt>
                <c:pt idx="5">
                  <c:v>99500</c:v>
                </c:pt>
                <c:pt idx="6">
                  <c:v>87000</c:v>
                </c:pt>
                <c:pt idx="7">
                  <c:v>70900</c:v>
                </c:pt>
                <c:pt idx="8">
                  <c:v>62400</c:v>
                </c:pt>
                <c:pt idx="9">
                  <c:v>56600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2-4FFD-AB60-5E01CA075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5104136"/>
        <c:axId val="1407232520"/>
      </c:barChart>
      <c:catAx>
        <c:axId val="1405104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32520"/>
        <c:crosses val="autoZero"/>
        <c:auto val="1"/>
        <c:lblAlgn val="ctr"/>
        <c:lblOffset val="100"/>
        <c:noMultiLvlLbl val="0"/>
      </c:catAx>
      <c:valAx>
        <c:axId val="140723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104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12</c:v>
              </c:pt>
              <c:pt idx="1">
                <c:v>10</c:v>
              </c:pt>
              <c:pt idx="2">
                <c:v>20</c:v>
              </c:pt>
              <c:pt idx="3">
                <c:v>9</c:v>
              </c:pt>
              <c:pt idx="4">
                <c:v>13</c:v>
              </c:pt>
              <c:pt idx="5">
                <c:v>14</c:v>
              </c:pt>
              <c:pt idx="6">
                <c:v>9</c:v>
              </c:pt>
              <c:pt idx="7">
                <c:v>14</c:v>
              </c:pt>
              <c:pt idx="8">
                <c:v>11</c:v>
              </c:pt>
              <c:pt idx="9">
                <c:v>12</c:v>
              </c:pt>
              <c:pt idx="10">
                <c:v>8</c:v>
              </c:pt>
              <c:pt idx="11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A4CA-442C-BC12-E7EE1A642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395207"/>
        <c:axId val="505403911"/>
      </c:barChart>
      <c:catAx>
        <c:axId val="505395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03911"/>
        <c:crosses val="autoZero"/>
        <c:auto val="1"/>
        <c:lblAlgn val="ctr"/>
        <c:lblOffset val="100"/>
        <c:noMultiLvlLbl val="0"/>
      </c:catAx>
      <c:valAx>
        <c:axId val="50540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9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9525</xdr:rowOff>
    </xdr:from>
    <xdr:to>
      <xdr:col>3</xdr:col>
      <xdr:colOff>1828800</xdr:colOff>
      <xdr:row>16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FCE18F-38C7-8322-26DE-3B0469664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4</xdr:row>
      <xdr:rowOff>0</xdr:rowOff>
    </xdr:from>
    <xdr:to>
      <xdr:col>7</xdr:col>
      <xdr:colOff>3409950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547A8-970B-1DE3-E379-3F2DA5B9A7C9}"/>
            </a:ext>
            <a:ext uri="{147F2762-F138-4A5C-976F-8EAC2B608ADB}">
              <a16:predDERef xmlns:a16="http://schemas.microsoft.com/office/drawing/2014/main" pred="{76FCE18F-38C7-8322-26DE-3B0469664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28575</xdr:rowOff>
    </xdr:from>
    <xdr:to>
      <xdr:col>3</xdr:col>
      <xdr:colOff>1828800</xdr:colOff>
      <xdr:row>32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8F27F4-42B4-9426-068D-6BCB77575A92}"/>
            </a:ext>
            <a:ext uri="{147F2762-F138-4A5C-976F-8EAC2B608ADB}">
              <a16:predDERef xmlns:a16="http://schemas.microsoft.com/office/drawing/2014/main" pred="{E23547A8-970B-1DE3-E379-3F2DA5B9A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66675</xdr:colOff>
      <xdr:row>18</xdr:row>
      <xdr:rowOff>28575</xdr:rowOff>
    </xdr:from>
    <xdr:to>
      <xdr:col>7</xdr:col>
      <xdr:colOff>3419475</xdr:colOff>
      <xdr:row>32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84535CB-64CD-A513-855B-70A22EBE0E07}"/>
            </a:ext>
            <a:ext uri="{147F2762-F138-4A5C-976F-8EAC2B608ADB}">
              <a16:predDERef xmlns:a16="http://schemas.microsoft.com/office/drawing/2014/main" pred="{778F27F4-42B4-9426-068D-6BCB77575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34</xdr:row>
      <xdr:rowOff>9525</xdr:rowOff>
    </xdr:from>
    <xdr:to>
      <xdr:col>7</xdr:col>
      <xdr:colOff>3429000</xdr:colOff>
      <xdr:row>41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751E15-02EF-523C-CAE5-151D1031F41B}"/>
            </a:ext>
            <a:ext uri="{147F2762-F138-4A5C-976F-8EAC2B608ADB}">
              <a16:predDERef xmlns:a16="http://schemas.microsoft.com/office/drawing/2014/main" pred="{184535CB-64CD-A513-855B-70A22EBE0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736418865738" createdVersion="8" refreshedVersion="8" minRefreshableVersion="3" recordCount="150" xr:uid="{B03AD999-6BE8-4491-98A5-A303FA0D9458}">
  <cacheSource type="worksheet">
    <worksheetSource name="Table3" r:id="rId2"/>
  </cacheSource>
  <cacheFields count="10">
    <cacheField name="order_id" numFmtId="0">
      <sharedItems containsSemiMixedTypes="0" containsString="0" containsNumber="1" containsInteger="1" minValue="1001" maxValue="1150"/>
    </cacheField>
    <cacheField name="customer_id" numFmtId="0">
      <sharedItems containsSemiMixedTypes="0" containsString="0" containsNumber="1" containsInteger="1" minValue="1" maxValue="20" count="20">
        <n v="4"/>
        <n v="20"/>
        <n v="3"/>
        <n v="10"/>
        <n v="13"/>
        <n v="6"/>
        <n v="9"/>
        <n v="18"/>
        <n v="2"/>
        <n v="19"/>
        <n v="16"/>
        <n v="5"/>
        <n v="14"/>
        <n v="15"/>
        <n v="17"/>
        <n v="12"/>
        <n v="8"/>
        <n v="1"/>
        <n v="11"/>
        <n v="7"/>
      </sharedItems>
    </cacheField>
    <cacheField name="product_id" numFmtId="0">
      <sharedItems containsSemiMixedTypes="0" containsString="0" containsNumber="1" containsInteger="1" minValue="101" maxValue="125" count="25">
        <n v="113"/>
        <n v="112"/>
        <n v="102"/>
        <n v="103"/>
        <n v="109"/>
        <n v="123"/>
        <n v="121"/>
        <n v="115"/>
        <n v="108"/>
        <n v="118"/>
        <n v="117"/>
        <n v="104"/>
        <n v="120"/>
        <n v="101"/>
        <n v="125"/>
        <n v="110"/>
        <n v="111"/>
        <n v="124"/>
        <n v="119"/>
        <n v="122"/>
        <n v="105"/>
        <n v="116"/>
        <n v="114"/>
        <n v="107"/>
        <n v="106"/>
      </sharedItems>
    </cacheField>
    <cacheField name="order_date" numFmtId="14">
      <sharedItems containsSemiMixedTypes="0" containsNonDate="0" containsDate="1" containsString="0" minDate="2025-01-01T00:00:00" maxDate="2025-12-29T00:00:00" count="129">
        <d v="2025-02-10T00:00:00"/>
        <d v="2025-10-23T00:00:00"/>
        <d v="2025-12-05T00:00:00"/>
        <d v="2025-04-30T00:00:00"/>
        <d v="2025-08-21T00:00:00"/>
        <d v="2025-07-01T00:00:00"/>
        <d v="2025-12-16T00:00:00"/>
        <d v="2025-03-29T00:00:00"/>
        <d v="2025-07-14T00:00:00"/>
        <d v="2025-12-17T00:00:00"/>
        <d v="2025-01-17T00:00:00"/>
        <d v="2025-02-03T00:00:00"/>
        <d v="2025-06-11T00:00:00"/>
        <d v="2025-11-26T00:00:00"/>
        <d v="2025-03-13T00:00:00"/>
        <d v="2025-05-15T00:00:00"/>
        <d v="2025-07-05T00:00:00"/>
        <d v="2025-09-10T00:00:00"/>
        <d v="2025-03-20T00:00:00"/>
        <d v="2025-02-02T00:00:00"/>
        <d v="2025-08-28T00:00:00"/>
        <d v="2025-12-15T00:00:00"/>
        <d v="2025-05-17T00:00:00"/>
        <d v="2025-08-11T00:00:00"/>
        <d v="2025-11-17T00:00:00"/>
        <d v="2025-04-12T00:00:00"/>
        <d v="2025-03-24T00:00:00"/>
        <d v="2025-09-08T00:00:00"/>
        <d v="2025-06-07T00:00:00"/>
        <d v="2025-10-18T00:00:00"/>
        <d v="2025-09-06T00:00:00"/>
        <d v="2025-03-06T00:00:00"/>
        <d v="2025-03-26T00:00:00"/>
        <d v="2025-08-05T00:00:00"/>
        <d v="2025-12-20T00:00:00"/>
        <d v="2025-12-10T00:00:00"/>
        <d v="2025-08-20T00:00:00"/>
        <d v="2025-10-11T00:00:00"/>
        <d v="2025-01-04T00:00:00"/>
        <d v="2025-02-04T00:00:00"/>
        <d v="2025-09-21T00:00:00"/>
        <d v="2025-10-20T00:00:00"/>
        <d v="2025-07-28T00:00:00"/>
        <d v="2025-12-04T00:00:00"/>
        <d v="2025-07-30T00:00:00"/>
        <d v="2025-12-01T00:00:00"/>
        <d v="2025-06-23T00:00:00"/>
        <d v="2025-04-08T00:00:00"/>
        <d v="2025-04-04T00:00:00"/>
        <d v="2025-02-08T00:00:00"/>
        <d v="2025-01-26T00:00:00"/>
        <d v="2025-05-02T00:00:00"/>
        <d v="2025-09-04T00:00:00"/>
        <d v="2025-05-16T00:00:00"/>
        <d v="2025-12-23T00:00:00"/>
        <d v="2025-06-01T00:00:00"/>
        <d v="2025-10-05T00:00:00"/>
        <d v="2025-03-22T00:00:00"/>
        <d v="2025-04-06T00:00:00"/>
        <d v="2025-12-12T00:00:00"/>
        <d v="2025-10-19T00:00:00"/>
        <d v="2025-01-21T00:00:00"/>
        <d v="2025-10-26T00:00:00"/>
        <d v="2025-12-09T00:00:00"/>
        <d v="2025-07-22T00:00:00"/>
        <d v="2025-11-15T00:00:00"/>
        <d v="2025-04-20T00:00:00"/>
        <d v="2025-02-05T00:00:00"/>
        <d v="2025-06-04T00:00:00"/>
        <d v="2025-12-06T00:00:00"/>
        <d v="2025-03-01T00:00:00"/>
        <d v="2025-05-20T00:00:00"/>
        <d v="2025-06-25T00:00:00"/>
        <d v="2025-11-21T00:00:00"/>
        <d v="2025-01-02T00:00:00"/>
        <d v="2025-12-28T00:00:00"/>
        <d v="2025-02-27T00:00:00"/>
        <d v="2025-01-19T00:00:00"/>
        <d v="2025-03-17T00:00:00"/>
        <d v="2025-04-18T00:00:00"/>
        <d v="2025-10-14T00:00:00"/>
        <d v="2025-03-21T00:00:00"/>
        <d v="2025-07-31T00:00:00"/>
        <d v="2025-06-20T00:00:00"/>
        <d v="2025-03-23T00:00:00"/>
        <d v="2025-08-29T00:00:00"/>
        <d v="2025-06-29T00:00:00"/>
        <d v="2025-01-13T00:00:00"/>
        <d v="2025-05-23T00:00:00"/>
        <d v="2025-11-25T00:00:00"/>
        <d v="2025-01-15T00:00:00"/>
        <d v="2025-10-25T00:00:00"/>
        <d v="2025-11-02T00:00:00"/>
        <d v="2025-06-10T00:00:00"/>
        <d v="2025-05-11T00:00:00"/>
        <d v="2025-09-24T00:00:00"/>
        <d v="2025-06-08T00:00:00"/>
        <d v="2025-04-09T00:00:00"/>
        <d v="2025-03-31T00:00:00"/>
        <d v="2025-01-01T00:00:00"/>
        <d v="2025-08-09T00:00:00"/>
        <d v="2025-08-15T00:00:00"/>
        <d v="2025-03-28T00:00:00"/>
        <d v="2025-05-01T00:00:00"/>
        <d v="2025-09-01T00:00:00"/>
        <d v="2025-11-19T00:00:00"/>
        <d v="2025-07-24T00:00:00"/>
        <d v="2025-12-19T00:00:00"/>
        <d v="2025-08-06T00:00:00"/>
        <d v="2025-09-23T00:00:00"/>
        <d v="2025-05-08T00:00:00"/>
        <d v="2025-08-26T00:00:00"/>
        <d v="2025-09-16T00:00:00"/>
        <d v="2025-05-07T00:00:00"/>
        <d v="2025-02-09T00:00:00"/>
        <d v="2025-06-21T00:00:00"/>
        <d v="2025-03-12T00:00:00"/>
        <d v="2025-12-22T00:00:00"/>
        <d v="2025-08-01T00:00:00"/>
        <d v="2025-08-27T00:00:00"/>
        <d v="2025-08-04T00:00:00"/>
        <d v="2025-01-11T00:00:00"/>
        <d v="2025-06-30T00:00:00"/>
        <d v="2025-10-03T00:00:00"/>
        <d v="2025-07-19T00:00:00"/>
        <d v="2025-10-01T00:00:00"/>
        <d v="2025-10-16T00:00:00"/>
        <d v="2025-08-08T00:00:00"/>
        <d v="2025-04-19T00:00:00"/>
      </sharedItems>
    </cacheField>
    <cacheField name="quantity" numFmtId="0">
      <sharedItems containsSemiMixedTypes="0" containsString="0" containsNumber="1" containsInteger="1" minValue="1" maxValue="4"/>
    </cacheField>
    <cacheField name="Product Price" numFmtId="0">
      <sharedItems containsSemiMixedTypes="0" containsString="0" containsNumber="1" containsInteger="1" minValue="900" maxValue="65000"/>
    </cacheField>
    <cacheField name="Revenu" numFmtId="0">
      <sharedItems containsSemiMixedTypes="0" containsString="0" containsNumber="1" containsInteger="1" minValue="900" maxValue="195000" count="46">
        <n v="6600"/>
        <n v="3600"/>
        <n v="2400"/>
        <n v="3500"/>
        <n v="36000"/>
        <n v="5500"/>
        <n v="4500"/>
        <n v="5400"/>
        <n v="24000"/>
        <n v="11000"/>
        <n v="8800"/>
        <n v="10000"/>
        <n v="4400"/>
        <n v="1200"/>
        <n v="65000"/>
        <n v="19000"/>
        <n v="130000"/>
        <n v="1800"/>
        <n v="7000"/>
        <n v="6200"/>
        <n v="7500"/>
        <n v="18000"/>
        <n v="9600"/>
        <n v="12800"/>
        <n v="2200"/>
        <n v="7200"/>
        <n v="4800"/>
        <n v="900"/>
        <n v="10500"/>
        <n v="2700"/>
        <n v="1500"/>
        <n v="38000"/>
        <n v="9500"/>
        <n v="12000"/>
        <n v="13500"/>
        <n v="14000"/>
        <n v="12400"/>
        <n v="24800"/>
        <n v="22500"/>
        <n v="3000"/>
        <n v="6400"/>
        <n v="22000"/>
        <n v="2500"/>
        <n v="6000"/>
        <n v="195000"/>
        <n v="28000"/>
      </sharedItems>
    </cacheField>
    <cacheField name="Category" numFmtId="0">
      <sharedItems count="6">
        <s v="Accessories"/>
        <s v="Furniture"/>
        <s v="Electronics"/>
        <s v="Home Appliances"/>
        <s v="Clothing"/>
        <s v="Sports"/>
      </sharedItems>
    </cacheField>
    <cacheField name="p" numFmtId="0">
      <sharedItems containsSemiMixedTypes="0" containsString="0" containsNumber="1" containsInteger="1" minValue="1" maxValue="12" count="12">
        <n v="2"/>
        <n v="10"/>
        <n v="12"/>
        <n v="4"/>
        <n v="8"/>
        <n v="7"/>
        <n v="3"/>
        <n v="1"/>
        <n v="6"/>
        <n v="11"/>
        <n v="5"/>
        <n v="9"/>
      </sharedItems>
    </cacheField>
    <cacheField name="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001"/>
    <x v="0"/>
    <x v="0"/>
    <x v="0"/>
    <n v="3"/>
    <n v="2200"/>
    <x v="0"/>
    <x v="0"/>
    <x v="0"/>
    <s v="Backpack"/>
  </r>
  <r>
    <n v="1002"/>
    <x v="1"/>
    <x v="1"/>
    <x v="1"/>
    <n v="2"/>
    <n v="1800"/>
    <x v="1"/>
    <x v="1"/>
    <x v="1"/>
    <s v="Table Lamp"/>
  </r>
  <r>
    <n v="1003"/>
    <x v="2"/>
    <x v="2"/>
    <x v="2"/>
    <n v="2"/>
    <n v="1200"/>
    <x v="2"/>
    <x v="2"/>
    <x v="2"/>
    <s v="Wireless Mouse"/>
  </r>
  <r>
    <n v="1004"/>
    <x v="3"/>
    <x v="3"/>
    <x v="3"/>
    <n v="1"/>
    <n v="3500"/>
    <x v="3"/>
    <x v="2"/>
    <x v="3"/>
    <s v="Mechanical Keyboard"/>
  </r>
  <r>
    <n v="1005"/>
    <x v="4"/>
    <x v="4"/>
    <x v="4"/>
    <n v="3"/>
    <n v="12000"/>
    <x v="4"/>
    <x v="1"/>
    <x v="4"/>
    <s v="Office Chair"/>
  </r>
  <r>
    <n v="1006"/>
    <x v="5"/>
    <x v="1"/>
    <x v="5"/>
    <n v="2"/>
    <n v="1800"/>
    <x v="1"/>
    <x v="1"/>
    <x v="5"/>
    <s v="Table Lamp"/>
  </r>
  <r>
    <n v="1007"/>
    <x v="6"/>
    <x v="5"/>
    <x v="6"/>
    <n v="1"/>
    <n v="5500"/>
    <x v="5"/>
    <x v="3"/>
    <x v="2"/>
    <s v="Coffee Maker"/>
  </r>
  <r>
    <n v="1008"/>
    <x v="1"/>
    <x v="6"/>
    <x v="7"/>
    <n v="2"/>
    <n v="1800"/>
    <x v="1"/>
    <x v="4"/>
    <x v="6"/>
    <s v="Hoodie"/>
  </r>
  <r>
    <n v="1009"/>
    <x v="5"/>
    <x v="7"/>
    <x v="8"/>
    <n v="3"/>
    <n v="1500"/>
    <x v="6"/>
    <x v="0"/>
    <x v="5"/>
    <s v="Wallet"/>
  </r>
  <r>
    <n v="1010"/>
    <x v="7"/>
    <x v="8"/>
    <x v="9"/>
    <n v="3"/>
    <n v="1800"/>
    <x v="7"/>
    <x v="2"/>
    <x v="2"/>
    <s v="Power Bank"/>
  </r>
  <r>
    <n v="1011"/>
    <x v="8"/>
    <x v="8"/>
    <x v="10"/>
    <n v="3"/>
    <n v="1800"/>
    <x v="7"/>
    <x v="2"/>
    <x v="7"/>
    <s v="Power Bank"/>
  </r>
  <r>
    <n v="1012"/>
    <x v="4"/>
    <x v="4"/>
    <x v="11"/>
    <n v="2"/>
    <n v="12000"/>
    <x v="8"/>
    <x v="1"/>
    <x v="0"/>
    <s v="Office Chair"/>
  </r>
  <r>
    <n v="1013"/>
    <x v="9"/>
    <x v="5"/>
    <x v="12"/>
    <n v="2"/>
    <n v="5500"/>
    <x v="9"/>
    <x v="3"/>
    <x v="8"/>
    <s v="Coffee Maker"/>
  </r>
  <r>
    <n v="1014"/>
    <x v="10"/>
    <x v="0"/>
    <x v="13"/>
    <n v="4"/>
    <n v="2200"/>
    <x v="10"/>
    <x v="0"/>
    <x v="9"/>
    <s v="Backpack"/>
  </r>
  <r>
    <n v="1015"/>
    <x v="11"/>
    <x v="4"/>
    <x v="14"/>
    <n v="2"/>
    <n v="12000"/>
    <x v="8"/>
    <x v="1"/>
    <x v="6"/>
    <s v="Office Chair"/>
  </r>
  <r>
    <n v="1016"/>
    <x v="7"/>
    <x v="9"/>
    <x v="15"/>
    <n v="4"/>
    <n v="2500"/>
    <x v="11"/>
    <x v="5"/>
    <x v="10"/>
    <s v="Dumbbells"/>
  </r>
  <r>
    <n v="1017"/>
    <x v="9"/>
    <x v="0"/>
    <x v="16"/>
    <n v="2"/>
    <n v="2200"/>
    <x v="12"/>
    <x v="0"/>
    <x v="5"/>
    <s v="Backpack"/>
  </r>
  <r>
    <n v="1018"/>
    <x v="11"/>
    <x v="10"/>
    <x v="17"/>
    <n v="1"/>
    <n v="1200"/>
    <x v="13"/>
    <x v="5"/>
    <x v="11"/>
    <s v="Yoga Mat"/>
  </r>
  <r>
    <n v="1019"/>
    <x v="8"/>
    <x v="11"/>
    <x v="18"/>
    <n v="2"/>
    <n v="2200"/>
    <x v="12"/>
    <x v="2"/>
    <x v="6"/>
    <s v="USB-C Hub"/>
  </r>
  <r>
    <n v="1020"/>
    <x v="12"/>
    <x v="12"/>
    <x v="19"/>
    <n v="4"/>
    <n v="2200"/>
    <x v="10"/>
    <x v="4"/>
    <x v="0"/>
    <s v="Jeans"/>
  </r>
  <r>
    <n v="1021"/>
    <x v="4"/>
    <x v="12"/>
    <x v="20"/>
    <n v="3"/>
    <n v="2200"/>
    <x v="0"/>
    <x v="4"/>
    <x v="4"/>
    <s v="Jeans"/>
  </r>
  <r>
    <n v="1022"/>
    <x v="7"/>
    <x v="13"/>
    <x v="21"/>
    <n v="1"/>
    <n v="65000"/>
    <x v="14"/>
    <x v="2"/>
    <x v="2"/>
    <s v="Laptop Pro 14"/>
  </r>
  <r>
    <n v="1023"/>
    <x v="7"/>
    <x v="14"/>
    <x v="22"/>
    <n v="3"/>
    <n v="1800"/>
    <x v="7"/>
    <x v="3"/>
    <x v="10"/>
    <s v="Electric Kettle"/>
  </r>
  <r>
    <n v="1024"/>
    <x v="0"/>
    <x v="15"/>
    <x v="23"/>
    <n v="2"/>
    <n v="9500"/>
    <x v="15"/>
    <x v="1"/>
    <x v="4"/>
    <s v="Study Desk"/>
  </r>
  <r>
    <n v="1025"/>
    <x v="13"/>
    <x v="13"/>
    <x v="15"/>
    <n v="2"/>
    <n v="65000"/>
    <x v="16"/>
    <x v="2"/>
    <x v="10"/>
    <s v="Laptop Pro 14"/>
  </r>
  <r>
    <n v="1026"/>
    <x v="14"/>
    <x v="11"/>
    <x v="24"/>
    <n v="3"/>
    <n v="2200"/>
    <x v="0"/>
    <x v="2"/>
    <x v="9"/>
    <s v="USB-C Hub"/>
  </r>
  <r>
    <n v="1027"/>
    <x v="14"/>
    <x v="12"/>
    <x v="25"/>
    <n v="2"/>
    <n v="2200"/>
    <x v="12"/>
    <x v="4"/>
    <x v="3"/>
    <s v="Jeans"/>
  </r>
  <r>
    <n v="1028"/>
    <x v="15"/>
    <x v="14"/>
    <x v="26"/>
    <n v="1"/>
    <n v="1800"/>
    <x v="17"/>
    <x v="3"/>
    <x v="6"/>
    <s v="Electric Kettle"/>
  </r>
  <r>
    <n v="1029"/>
    <x v="1"/>
    <x v="16"/>
    <x v="27"/>
    <n v="1"/>
    <n v="7000"/>
    <x v="18"/>
    <x v="1"/>
    <x v="11"/>
    <s v="Bookshelf"/>
  </r>
  <r>
    <n v="1030"/>
    <x v="0"/>
    <x v="1"/>
    <x v="28"/>
    <n v="2"/>
    <n v="1800"/>
    <x v="1"/>
    <x v="1"/>
    <x v="8"/>
    <s v="Table Lamp"/>
  </r>
  <r>
    <n v="1031"/>
    <x v="8"/>
    <x v="8"/>
    <x v="29"/>
    <n v="1"/>
    <n v="1800"/>
    <x v="17"/>
    <x v="2"/>
    <x v="1"/>
    <s v="Power Bank"/>
  </r>
  <r>
    <n v="1032"/>
    <x v="2"/>
    <x v="17"/>
    <x v="30"/>
    <n v="1"/>
    <n v="6200"/>
    <x v="19"/>
    <x v="3"/>
    <x v="11"/>
    <s v="Air Fryer"/>
  </r>
  <r>
    <n v="1033"/>
    <x v="7"/>
    <x v="14"/>
    <x v="31"/>
    <n v="2"/>
    <n v="1800"/>
    <x v="1"/>
    <x v="3"/>
    <x v="6"/>
    <s v="Electric Kettle"/>
  </r>
  <r>
    <n v="1034"/>
    <x v="10"/>
    <x v="9"/>
    <x v="32"/>
    <n v="3"/>
    <n v="2500"/>
    <x v="20"/>
    <x v="5"/>
    <x v="6"/>
    <s v="Dumbbells"/>
  </r>
  <r>
    <n v="1035"/>
    <x v="14"/>
    <x v="12"/>
    <x v="33"/>
    <n v="2"/>
    <n v="2200"/>
    <x v="12"/>
    <x v="4"/>
    <x v="4"/>
    <s v="Jeans"/>
  </r>
  <r>
    <n v="1036"/>
    <x v="7"/>
    <x v="14"/>
    <x v="34"/>
    <n v="2"/>
    <n v="1800"/>
    <x v="1"/>
    <x v="3"/>
    <x v="2"/>
    <s v="Electric Kettle"/>
  </r>
  <r>
    <n v="1037"/>
    <x v="3"/>
    <x v="0"/>
    <x v="35"/>
    <n v="3"/>
    <n v="2200"/>
    <x v="0"/>
    <x v="0"/>
    <x v="2"/>
    <s v="Backpack"/>
  </r>
  <r>
    <n v="1038"/>
    <x v="13"/>
    <x v="10"/>
    <x v="36"/>
    <n v="1"/>
    <n v="1200"/>
    <x v="13"/>
    <x v="5"/>
    <x v="4"/>
    <s v="Yoga Mat"/>
  </r>
  <r>
    <n v="1039"/>
    <x v="16"/>
    <x v="8"/>
    <x v="19"/>
    <n v="3"/>
    <n v="1800"/>
    <x v="7"/>
    <x v="2"/>
    <x v="0"/>
    <s v="Power Bank"/>
  </r>
  <r>
    <n v="1040"/>
    <x v="17"/>
    <x v="18"/>
    <x v="37"/>
    <n v="2"/>
    <n v="900"/>
    <x v="17"/>
    <x v="4"/>
    <x v="1"/>
    <s v="T-Shirt"/>
  </r>
  <r>
    <n v="1041"/>
    <x v="9"/>
    <x v="8"/>
    <x v="38"/>
    <n v="1"/>
    <n v="1800"/>
    <x v="17"/>
    <x v="2"/>
    <x v="7"/>
    <s v="Power Bank"/>
  </r>
  <r>
    <n v="1042"/>
    <x v="8"/>
    <x v="8"/>
    <x v="39"/>
    <n v="1"/>
    <n v="1800"/>
    <x v="17"/>
    <x v="2"/>
    <x v="0"/>
    <s v="Power Bank"/>
  </r>
  <r>
    <n v="1043"/>
    <x v="18"/>
    <x v="3"/>
    <x v="40"/>
    <n v="2"/>
    <n v="3500"/>
    <x v="18"/>
    <x v="2"/>
    <x v="11"/>
    <s v="Mechanical Keyboard"/>
  </r>
  <r>
    <n v="1044"/>
    <x v="6"/>
    <x v="19"/>
    <x v="30"/>
    <n v="2"/>
    <n v="3500"/>
    <x v="18"/>
    <x v="4"/>
    <x v="11"/>
    <s v="Jacket"/>
  </r>
  <r>
    <n v="1045"/>
    <x v="7"/>
    <x v="20"/>
    <x v="41"/>
    <n v="4"/>
    <n v="4500"/>
    <x v="21"/>
    <x v="2"/>
    <x v="1"/>
    <s v="Bluetooth Headphones"/>
  </r>
  <r>
    <n v="1046"/>
    <x v="16"/>
    <x v="21"/>
    <x v="42"/>
    <n v="2"/>
    <n v="4800"/>
    <x v="22"/>
    <x v="5"/>
    <x v="5"/>
    <s v="Running Shoes"/>
  </r>
  <r>
    <n v="1047"/>
    <x v="0"/>
    <x v="11"/>
    <x v="43"/>
    <n v="4"/>
    <n v="2200"/>
    <x v="10"/>
    <x v="2"/>
    <x v="2"/>
    <s v="USB-C Hub"/>
  </r>
  <r>
    <n v="1048"/>
    <x v="15"/>
    <x v="22"/>
    <x v="44"/>
    <n v="4"/>
    <n v="3200"/>
    <x v="23"/>
    <x v="0"/>
    <x v="5"/>
    <s v="Travel Bag"/>
  </r>
  <r>
    <n v="1049"/>
    <x v="8"/>
    <x v="19"/>
    <x v="45"/>
    <n v="1"/>
    <n v="3500"/>
    <x v="3"/>
    <x v="4"/>
    <x v="2"/>
    <s v="Jacket"/>
  </r>
  <r>
    <n v="1050"/>
    <x v="8"/>
    <x v="0"/>
    <x v="46"/>
    <n v="1"/>
    <n v="2200"/>
    <x v="24"/>
    <x v="0"/>
    <x v="8"/>
    <s v="Backpack"/>
  </r>
  <r>
    <n v="1051"/>
    <x v="16"/>
    <x v="23"/>
    <x v="47"/>
    <n v="4"/>
    <n v="900"/>
    <x v="1"/>
    <x v="2"/>
    <x v="3"/>
    <s v="Phone Stand"/>
  </r>
  <r>
    <n v="1052"/>
    <x v="11"/>
    <x v="22"/>
    <x v="48"/>
    <n v="3"/>
    <n v="3200"/>
    <x v="22"/>
    <x v="0"/>
    <x v="3"/>
    <s v="Travel Bag"/>
  </r>
  <r>
    <n v="1053"/>
    <x v="13"/>
    <x v="8"/>
    <x v="49"/>
    <n v="4"/>
    <n v="1800"/>
    <x v="25"/>
    <x v="2"/>
    <x v="0"/>
    <s v="Power Bank"/>
  </r>
  <r>
    <n v="1054"/>
    <x v="7"/>
    <x v="11"/>
    <x v="50"/>
    <n v="1"/>
    <n v="2200"/>
    <x v="24"/>
    <x v="2"/>
    <x v="7"/>
    <s v="USB-C Hub"/>
  </r>
  <r>
    <n v="1055"/>
    <x v="2"/>
    <x v="14"/>
    <x v="51"/>
    <n v="2"/>
    <n v="1800"/>
    <x v="1"/>
    <x v="3"/>
    <x v="10"/>
    <s v="Electric Kettle"/>
  </r>
  <r>
    <n v="1056"/>
    <x v="12"/>
    <x v="21"/>
    <x v="52"/>
    <n v="2"/>
    <n v="4800"/>
    <x v="22"/>
    <x v="5"/>
    <x v="11"/>
    <s v="Running Shoes"/>
  </r>
  <r>
    <n v="1057"/>
    <x v="4"/>
    <x v="2"/>
    <x v="32"/>
    <n v="4"/>
    <n v="1200"/>
    <x v="26"/>
    <x v="2"/>
    <x v="6"/>
    <s v="Wireless Mouse"/>
  </r>
  <r>
    <n v="1058"/>
    <x v="17"/>
    <x v="0"/>
    <x v="53"/>
    <n v="4"/>
    <n v="2200"/>
    <x v="10"/>
    <x v="0"/>
    <x v="10"/>
    <s v="Backpack"/>
  </r>
  <r>
    <n v="1059"/>
    <x v="3"/>
    <x v="22"/>
    <x v="54"/>
    <n v="4"/>
    <n v="3200"/>
    <x v="23"/>
    <x v="0"/>
    <x v="2"/>
    <s v="Travel Bag"/>
  </r>
  <r>
    <n v="1060"/>
    <x v="11"/>
    <x v="23"/>
    <x v="55"/>
    <n v="2"/>
    <n v="900"/>
    <x v="17"/>
    <x v="2"/>
    <x v="8"/>
    <s v="Phone Stand"/>
  </r>
  <r>
    <n v="1061"/>
    <x v="8"/>
    <x v="18"/>
    <x v="56"/>
    <n v="1"/>
    <n v="900"/>
    <x v="27"/>
    <x v="4"/>
    <x v="1"/>
    <s v="T-Shirt"/>
  </r>
  <r>
    <n v="1062"/>
    <x v="18"/>
    <x v="2"/>
    <x v="50"/>
    <n v="4"/>
    <n v="1200"/>
    <x v="26"/>
    <x v="2"/>
    <x v="7"/>
    <s v="Wireless Mouse"/>
  </r>
  <r>
    <n v="1063"/>
    <x v="14"/>
    <x v="10"/>
    <x v="57"/>
    <n v="1"/>
    <n v="1200"/>
    <x v="13"/>
    <x v="5"/>
    <x v="6"/>
    <s v="Yoga Mat"/>
  </r>
  <r>
    <n v="1064"/>
    <x v="14"/>
    <x v="3"/>
    <x v="58"/>
    <n v="1"/>
    <n v="3500"/>
    <x v="3"/>
    <x v="2"/>
    <x v="3"/>
    <s v="Mechanical Keyboard"/>
  </r>
  <r>
    <n v="1065"/>
    <x v="1"/>
    <x v="3"/>
    <x v="59"/>
    <n v="2"/>
    <n v="3500"/>
    <x v="18"/>
    <x v="2"/>
    <x v="2"/>
    <s v="Mechanical Keyboard"/>
  </r>
  <r>
    <n v="1066"/>
    <x v="4"/>
    <x v="11"/>
    <x v="60"/>
    <n v="2"/>
    <n v="2200"/>
    <x v="12"/>
    <x v="2"/>
    <x v="1"/>
    <s v="USB-C Hub"/>
  </r>
  <r>
    <n v="1067"/>
    <x v="9"/>
    <x v="12"/>
    <x v="61"/>
    <n v="1"/>
    <n v="2200"/>
    <x v="24"/>
    <x v="4"/>
    <x v="7"/>
    <s v="Jeans"/>
  </r>
  <r>
    <n v="1068"/>
    <x v="12"/>
    <x v="19"/>
    <x v="62"/>
    <n v="3"/>
    <n v="3500"/>
    <x v="28"/>
    <x v="4"/>
    <x v="1"/>
    <s v="Jacket"/>
  </r>
  <r>
    <n v="1069"/>
    <x v="6"/>
    <x v="23"/>
    <x v="63"/>
    <n v="3"/>
    <n v="900"/>
    <x v="29"/>
    <x v="2"/>
    <x v="2"/>
    <s v="Phone Stand"/>
  </r>
  <r>
    <n v="1070"/>
    <x v="16"/>
    <x v="4"/>
    <x v="64"/>
    <n v="2"/>
    <n v="12000"/>
    <x v="8"/>
    <x v="1"/>
    <x v="5"/>
    <s v="Office Chair"/>
  </r>
  <r>
    <n v="1071"/>
    <x v="3"/>
    <x v="7"/>
    <x v="12"/>
    <n v="1"/>
    <n v="1500"/>
    <x v="30"/>
    <x v="0"/>
    <x v="8"/>
    <s v="Wallet"/>
  </r>
  <r>
    <n v="1072"/>
    <x v="17"/>
    <x v="7"/>
    <x v="65"/>
    <n v="1"/>
    <n v="1500"/>
    <x v="30"/>
    <x v="0"/>
    <x v="9"/>
    <s v="Wallet"/>
  </r>
  <r>
    <n v="1073"/>
    <x v="2"/>
    <x v="9"/>
    <x v="66"/>
    <n v="3"/>
    <n v="2500"/>
    <x v="20"/>
    <x v="5"/>
    <x v="3"/>
    <s v="Dumbbells"/>
  </r>
  <r>
    <n v="1074"/>
    <x v="11"/>
    <x v="1"/>
    <x v="67"/>
    <n v="2"/>
    <n v="1800"/>
    <x v="1"/>
    <x v="1"/>
    <x v="0"/>
    <s v="Table Lamp"/>
  </r>
  <r>
    <n v="1075"/>
    <x v="15"/>
    <x v="15"/>
    <x v="57"/>
    <n v="4"/>
    <n v="9500"/>
    <x v="31"/>
    <x v="1"/>
    <x v="6"/>
    <s v="Study Desk"/>
  </r>
  <r>
    <n v="1076"/>
    <x v="7"/>
    <x v="5"/>
    <x v="68"/>
    <n v="1"/>
    <n v="5500"/>
    <x v="5"/>
    <x v="3"/>
    <x v="8"/>
    <s v="Coffee Maker"/>
  </r>
  <r>
    <n v="1077"/>
    <x v="7"/>
    <x v="15"/>
    <x v="69"/>
    <n v="1"/>
    <n v="9500"/>
    <x v="32"/>
    <x v="1"/>
    <x v="2"/>
    <s v="Study Desk"/>
  </r>
  <r>
    <n v="1078"/>
    <x v="11"/>
    <x v="4"/>
    <x v="70"/>
    <n v="1"/>
    <n v="12000"/>
    <x v="33"/>
    <x v="1"/>
    <x v="6"/>
    <s v="Office Chair"/>
  </r>
  <r>
    <n v="1079"/>
    <x v="7"/>
    <x v="20"/>
    <x v="71"/>
    <n v="3"/>
    <n v="4500"/>
    <x v="34"/>
    <x v="2"/>
    <x v="10"/>
    <s v="Bluetooth Headphones"/>
  </r>
  <r>
    <n v="1080"/>
    <x v="1"/>
    <x v="23"/>
    <x v="72"/>
    <n v="2"/>
    <n v="900"/>
    <x v="17"/>
    <x v="2"/>
    <x v="8"/>
    <s v="Phone Stand"/>
  </r>
  <r>
    <n v="1081"/>
    <x v="6"/>
    <x v="10"/>
    <x v="27"/>
    <n v="3"/>
    <n v="1200"/>
    <x v="1"/>
    <x v="5"/>
    <x v="11"/>
    <s v="Yoga Mat"/>
  </r>
  <r>
    <n v="1082"/>
    <x v="8"/>
    <x v="3"/>
    <x v="73"/>
    <n v="4"/>
    <n v="3500"/>
    <x v="35"/>
    <x v="2"/>
    <x v="9"/>
    <s v="Mechanical Keyboard"/>
  </r>
  <r>
    <n v="1083"/>
    <x v="6"/>
    <x v="2"/>
    <x v="74"/>
    <n v="3"/>
    <n v="1200"/>
    <x v="1"/>
    <x v="2"/>
    <x v="7"/>
    <s v="Wireless Mouse"/>
  </r>
  <r>
    <n v="1084"/>
    <x v="11"/>
    <x v="6"/>
    <x v="15"/>
    <n v="2"/>
    <n v="1800"/>
    <x v="1"/>
    <x v="4"/>
    <x v="10"/>
    <s v="Hoodie"/>
  </r>
  <r>
    <n v="1085"/>
    <x v="13"/>
    <x v="9"/>
    <x v="75"/>
    <n v="4"/>
    <n v="2500"/>
    <x v="11"/>
    <x v="5"/>
    <x v="2"/>
    <s v="Dumbbells"/>
  </r>
  <r>
    <n v="1086"/>
    <x v="7"/>
    <x v="13"/>
    <x v="76"/>
    <n v="1"/>
    <n v="65000"/>
    <x v="14"/>
    <x v="2"/>
    <x v="0"/>
    <s v="Laptop Pro 14"/>
  </r>
  <r>
    <n v="1087"/>
    <x v="11"/>
    <x v="9"/>
    <x v="77"/>
    <n v="3"/>
    <n v="2500"/>
    <x v="20"/>
    <x v="5"/>
    <x v="7"/>
    <s v="Dumbbells"/>
  </r>
  <r>
    <n v="1088"/>
    <x v="9"/>
    <x v="9"/>
    <x v="78"/>
    <n v="4"/>
    <n v="2500"/>
    <x v="11"/>
    <x v="5"/>
    <x v="6"/>
    <s v="Dumbbells"/>
  </r>
  <r>
    <n v="1089"/>
    <x v="11"/>
    <x v="2"/>
    <x v="28"/>
    <n v="3"/>
    <n v="1200"/>
    <x v="1"/>
    <x v="2"/>
    <x v="8"/>
    <s v="Wireless Mouse"/>
  </r>
  <r>
    <n v="1090"/>
    <x v="8"/>
    <x v="1"/>
    <x v="79"/>
    <n v="2"/>
    <n v="1800"/>
    <x v="1"/>
    <x v="1"/>
    <x v="3"/>
    <s v="Table Lamp"/>
  </r>
  <r>
    <n v="1091"/>
    <x v="0"/>
    <x v="1"/>
    <x v="80"/>
    <n v="4"/>
    <n v="1800"/>
    <x v="25"/>
    <x v="1"/>
    <x v="1"/>
    <s v="Table Lamp"/>
  </r>
  <r>
    <n v="1092"/>
    <x v="1"/>
    <x v="17"/>
    <x v="81"/>
    <n v="2"/>
    <n v="6200"/>
    <x v="36"/>
    <x v="3"/>
    <x v="6"/>
    <s v="Air Fryer"/>
  </r>
  <r>
    <n v="1093"/>
    <x v="5"/>
    <x v="24"/>
    <x v="82"/>
    <n v="1"/>
    <n v="7500"/>
    <x v="20"/>
    <x v="2"/>
    <x v="5"/>
    <s v="Smart Watch"/>
  </r>
  <r>
    <n v="1094"/>
    <x v="5"/>
    <x v="17"/>
    <x v="83"/>
    <n v="4"/>
    <n v="6200"/>
    <x v="37"/>
    <x v="3"/>
    <x v="8"/>
    <s v="Air Fryer"/>
  </r>
  <r>
    <n v="1095"/>
    <x v="16"/>
    <x v="4"/>
    <x v="84"/>
    <n v="1"/>
    <n v="12000"/>
    <x v="33"/>
    <x v="1"/>
    <x v="6"/>
    <s v="Office Chair"/>
  </r>
  <r>
    <n v="1096"/>
    <x v="4"/>
    <x v="2"/>
    <x v="85"/>
    <n v="2"/>
    <n v="1200"/>
    <x v="2"/>
    <x v="2"/>
    <x v="4"/>
    <s v="Wireless Mouse"/>
  </r>
  <r>
    <n v="1097"/>
    <x v="19"/>
    <x v="7"/>
    <x v="86"/>
    <n v="3"/>
    <n v="1500"/>
    <x v="6"/>
    <x v="0"/>
    <x v="8"/>
    <s v="Wallet"/>
  </r>
  <r>
    <n v="1098"/>
    <x v="16"/>
    <x v="8"/>
    <x v="87"/>
    <n v="2"/>
    <n v="1800"/>
    <x v="1"/>
    <x v="2"/>
    <x v="7"/>
    <s v="Power Bank"/>
  </r>
  <r>
    <n v="1099"/>
    <x v="4"/>
    <x v="16"/>
    <x v="88"/>
    <n v="1"/>
    <n v="7000"/>
    <x v="18"/>
    <x v="1"/>
    <x v="10"/>
    <s v="Bookshelf"/>
  </r>
  <r>
    <n v="1100"/>
    <x v="6"/>
    <x v="1"/>
    <x v="89"/>
    <n v="4"/>
    <n v="1800"/>
    <x v="25"/>
    <x v="1"/>
    <x v="9"/>
    <s v="Table Lamp"/>
  </r>
  <r>
    <n v="1101"/>
    <x v="7"/>
    <x v="16"/>
    <x v="90"/>
    <n v="1"/>
    <n v="7000"/>
    <x v="18"/>
    <x v="1"/>
    <x v="7"/>
    <s v="Bookshelf"/>
  </r>
  <r>
    <n v="1102"/>
    <x v="6"/>
    <x v="24"/>
    <x v="91"/>
    <n v="3"/>
    <n v="7500"/>
    <x v="38"/>
    <x v="2"/>
    <x v="1"/>
    <s v="Smart Watch"/>
  </r>
  <r>
    <n v="1103"/>
    <x v="8"/>
    <x v="11"/>
    <x v="92"/>
    <n v="4"/>
    <n v="2200"/>
    <x v="10"/>
    <x v="2"/>
    <x v="9"/>
    <s v="USB-C Hub"/>
  </r>
  <r>
    <n v="1104"/>
    <x v="15"/>
    <x v="17"/>
    <x v="93"/>
    <n v="4"/>
    <n v="6200"/>
    <x v="37"/>
    <x v="3"/>
    <x v="8"/>
    <s v="Air Fryer"/>
  </r>
  <r>
    <n v="1105"/>
    <x v="1"/>
    <x v="10"/>
    <x v="70"/>
    <n v="4"/>
    <n v="1200"/>
    <x v="26"/>
    <x v="5"/>
    <x v="6"/>
    <s v="Yoga Mat"/>
  </r>
  <r>
    <n v="1106"/>
    <x v="9"/>
    <x v="23"/>
    <x v="94"/>
    <n v="1"/>
    <n v="900"/>
    <x v="27"/>
    <x v="2"/>
    <x v="10"/>
    <s v="Phone Stand"/>
  </r>
  <r>
    <n v="1107"/>
    <x v="12"/>
    <x v="13"/>
    <x v="95"/>
    <n v="2"/>
    <n v="65000"/>
    <x v="16"/>
    <x v="2"/>
    <x v="11"/>
    <s v="Laptop Pro 14"/>
  </r>
  <r>
    <n v="1108"/>
    <x v="15"/>
    <x v="22"/>
    <x v="67"/>
    <n v="3"/>
    <n v="3200"/>
    <x v="22"/>
    <x v="0"/>
    <x v="0"/>
    <s v="Travel Bag"/>
  </r>
  <r>
    <n v="1109"/>
    <x v="1"/>
    <x v="16"/>
    <x v="69"/>
    <n v="1"/>
    <n v="7000"/>
    <x v="18"/>
    <x v="1"/>
    <x v="2"/>
    <s v="Bookshelf"/>
  </r>
  <r>
    <n v="1110"/>
    <x v="3"/>
    <x v="10"/>
    <x v="96"/>
    <n v="4"/>
    <n v="1200"/>
    <x v="26"/>
    <x v="5"/>
    <x v="8"/>
    <s v="Yoga Mat"/>
  </r>
  <r>
    <n v="1111"/>
    <x v="18"/>
    <x v="0"/>
    <x v="54"/>
    <n v="3"/>
    <n v="2200"/>
    <x v="0"/>
    <x v="0"/>
    <x v="2"/>
    <s v="Backpack"/>
  </r>
  <r>
    <n v="1112"/>
    <x v="7"/>
    <x v="20"/>
    <x v="97"/>
    <n v="4"/>
    <n v="4500"/>
    <x v="21"/>
    <x v="2"/>
    <x v="3"/>
    <s v="Bluetooth Headphones"/>
  </r>
  <r>
    <n v="1113"/>
    <x v="4"/>
    <x v="19"/>
    <x v="98"/>
    <n v="3"/>
    <n v="3500"/>
    <x v="28"/>
    <x v="4"/>
    <x v="6"/>
    <s v="Jacket"/>
  </r>
  <r>
    <n v="1114"/>
    <x v="4"/>
    <x v="9"/>
    <x v="99"/>
    <n v="3"/>
    <n v="2500"/>
    <x v="20"/>
    <x v="5"/>
    <x v="7"/>
    <s v="Dumbbells"/>
  </r>
  <r>
    <n v="1115"/>
    <x v="3"/>
    <x v="23"/>
    <x v="100"/>
    <n v="3"/>
    <n v="900"/>
    <x v="29"/>
    <x v="2"/>
    <x v="4"/>
    <s v="Phone Stand"/>
  </r>
  <r>
    <n v="1116"/>
    <x v="13"/>
    <x v="7"/>
    <x v="101"/>
    <n v="2"/>
    <n v="1500"/>
    <x v="39"/>
    <x v="0"/>
    <x v="4"/>
    <s v="Wallet"/>
  </r>
  <r>
    <n v="1117"/>
    <x v="14"/>
    <x v="21"/>
    <x v="102"/>
    <n v="1"/>
    <n v="4800"/>
    <x v="26"/>
    <x v="5"/>
    <x v="6"/>
    <s v="Running Shoes"/>
  </r>
  <r>
    <n v="1118"/>
    <x v="3"/>
    <x v="10"/>
    <x v="69"/>
    <n v="3"/>
    <n v="1200"/>
    <x v="1"/>
    <x v="5"/>
    <x v="2"/>
    <s v="Yoga Mat"/>
  </r>
  <r>
    <n v="1119"/>
    <x v="2"/>
    <x v="14"/>
    <x v="103"/>
    <n v="3"/>
    <n v="1800"/>
    <x v="7"/>
    <x v="3"/>
    <x v="10"/>
    <s v="Electric Kettle"/>
  </r>
  <r>
    <n v="1120"/>
    <x v="16"/>
    <x v="23"/>
    <x v="78"/>
    <n v="1"/>
    <n v="900"/>
    <x v="27"/>
    <x v="2"/>
    <x v="6"/>
    <s v="Phone Stand"/>
  </r>
  <r>
    <n v="1121"/>
    <x v="8"/>
    <x v="8"/>
    <x v="104"/>
    <n v="1"/>
    <n v="1800"/>
    <x v="17"/>
    <x v="2"/>
    <x v="11"/>
    <s v="Power Bank"/>
  </r>
  <r>
    <n v="1122"/>
    <x v="13"/>
    <x v="22"/>
    <x v="105"/>
    <n v="2"/>
    <n v="3200"/>
    <x v="40"/>
    <x v="0"/>
    <x v="9"/>
    <s v="Travel Bag"/>
  </r>
  <r>
    <n v="1123"/>
    <x v="4"/>
    <x v="21"/>
    <x v="106"/>
    <n v="2"/>
    <n v="4800"/>
    <x v="22"/>
    <x v="5"/>
    <x v="5"/>
    <s v="Running Shoes"/>
  </r>
  <r>
    <n v="1124"/>
    <x v="11"/>
    <x v="6"/>
    <x v="107"/>
    <n v="1"/>
    <n v="1800"/>
    <x v="17"/>
    <x v="4"/>
    <x v="2"/>
    <s v="Hoodie"/>
  </r>
  <r>
    <n v="1125"/>
    <x v="0"/>
    <x v="14"/>
    <x v="108"/>
    <n v="2"/>
    <n v="1800"/>
    <x v="1"/>
    <x v="3"/>
    <x v="4"/>
    <s v="Electric Kettle"/>
  </r>
  <r>
    <n v="1126"/>
    <x v="5"/>
    <x v="5"/>
    <x v="109"/>
    <n v="4"/>
    <n v="5500"/>
    <x v="41"/>
    <x v="3"/>
    <x v="11"/>
    <s v="Coffee Maker"/>
  </r>
  <r>
    <n v="1127"/>
    <x v="8"/>
    <x v="9"/>
    <x v="110"/>
    <n v="1"/>
    <n v="2500"/>
    <x v="42"/>
    <x v="5"/>
    <x v="10"/>
    <s v="Dumbbells"/>
  </r>
  <r>
    <n v="1128"/>
    <x v="13"/>
    <x v="20"/>
    <x v="111"/>
    <n v="3"/>
    <n v="4500"/>
    <x v="34"/>
    <x v="2"/>
    <x v="4"/>
    <s v="Bluetooth Headphones"/>
  </r>
  <r>
    <n v="1129"/>
    <x v="13"/>
    <x v="12"/>
    <x v="112"/>
    <n v="4"/>
    <n v="2200"/>
    <x v="10"/>
    <x v="4"/>
    <x v="11"/>
    <s v="Jeans"/>
  </r>
  <r>
    <n v="1130"/>
    <x v="7"/>
    <x v="7"/>
    <x v="84"/>
    <n v="4"/>
    <n v="1500"/>
    <x v="43"/>
    <x v="0"/>
    <x v="6"/>
    <s v="Wallet"/>
  </r>
  <r>
    <n v="1131"/>
    <x v="13"/>
    <x v="4"/>
    <x v="113"/>
    <n v="3"/>
    <n v="12000"/>
    <x v="4"/>
    <x v="1"/>
    <x v="10"/>
    <s v="Office Chair"/>
  </r>
  <r>
    <n v="1132"/>
    <x v="14"/>
    <x v="21"/>
    <x v="24"/>
    <n v="2"/>
    <n v="4800"/>
    <x v="22"/>
    <x v="5"/>
    <x v="9"/>
    <s v="Running Shoes"/>
  </r>
  <r>
    <n v="1133"/>
    <x v="6"/>
    <x v="7"/>
    <x v="114"/>
    <n v="3"/>
    <n v="1500"/>
    <x v="6"/>
    <x v="0"/>
    <x v="0"/>
    <s v="Wallet"/>
  </r>
  <r>
    <n v="1134"/>
    <x v="16"/>
    <x v="4"/>
    <x v="115"/>
    <n v="3"/>
    <n v="12000"/>
    <x v="4"/>
    <x v="1"/>
    <x v="8"/>
    <s v="Office Chair"/>
  </r>
  <r>
    <n v="1135"/>
    <x v="7"/>
    <x v="3"/>
    <x v="116"/>
    <n v="2"/>
    <n v="3500"/>
    <x v="18"/>
    <x v="2"/>
    <x v="6"/>
    <s v="Mechanical Keyboard"/>
  </r>
  <r>
    <n v="1136"/>
    <x v="16"/>
    <x v="0"/>
    <x v="117"/>
    <n v="2"/>
    <n v="2200"/>
    <x v="12"/>
    <x v="0"/>
    <x v="2"/>
    <s v="Backpack"/>
  </r>
  <r>
    <n v="1137"/>
    <x v="19"/>
    <x v="3"/>
    <x v="118"/>
    <n v="4"/>
    <n v="3500"/>
    <x v="35"/>
    <x v="2"/>
    <x v="4"/>
    <s v="Mechanical Keyboard"/>
  </r>
  <r>
    <n v="1138"/>
    <x v="18"/>
    <x v="9"/>
    <x v="119"/>
    <n v="4"/>
    <n v="2500"/>
    <x v="11"/>
    <x v="5"/>
    <x v="4"/>
    <s v="Dumbbells"/>
  </r>
  <r>
    <n v="1139"/>
    <x v="8"/>
    <x v="23"/>
    <x v="120"/>
    <n v="4"/>
    <n v="900"/>
    <x v="1"/>
    <x v="2"/>
    <x v="4"/>
    <s v="Phone Stand"/>
  </r>
  <r>
    <n v="1140"/>
    <x v="9"/>
    <x v="5"/>
    <x v="121"/>
    <n v="4"/>
    <n v="5500"/>
    <x v="41"/>
    <x v="3"/>
    <x v="7"/>
    <s v="Coffee Maker"/>
  </r>
  <r>
    <n v="1141"/>
    <x v="10"/>
    <x v="13"/>
    <x v="122"/>
    <n v="3"/>
    <n v="65000"/>
    <x v="44"/>
    <x v="2"/>
    <x v="8"/>
    <s v="Laptop Pro 14"/>
  </r>
  <r>
    <n v="1142"/>
    <x v="4"/>
    <x v="22"/>
    <x v="123"/>
    <n v="2"/>
    <n v="3200"/>
    <x v="40"/>
    <x v="0"/>
    <x v="1"/>
    <s v="Travel Bag"/>
  </r>
  <r>
    <n v="1143"/>
    <x v="10"/>
    <x v="8"/>
    <x v="71"/>
    <n v="4"/>
    <n v="1800"/>
    <x v="25"/>
    <x v="2"/>
    <x v="10"/>
    <s v="Power Bank"/>
  </r>
  <r>
    <n v="1144"/>
    <x v="10"/>
    <x v="13"/>
    <x v="124"/>
    <n v="3"/>
    <n v="65000"/>
    <x v="44"/>
    <x v="2"/>
    <x v="5"/>
    <s v="Laptop Pro 14"/>
  </r>
  <r>
    <n v="1145"/>
    <x v="4"/>
    <x v="17"/>
    <x v="32"/>
    <n v="4"/>
    <n v="6200"/>
    <x v="37"/>
    <x v="3"/>
    <x v="6"/>
    <s v="Air Fryer"/>
  </r>
  <r>
    <n v="1146"/>
    <x v="11"/>
    <x v="12"/>
    <x v="125"/>
    <n v="1"/>
    <n v="2200"/>
    <x v="24"/>
    <x v="4"/>
    <x v="1"/>
    <s v="Jeans"/>
  </r>
  <r>
    <n v="1147"/>
    <x v="4"/>
    <x v="18"/>
    <x v="126"/>
    <n v="1"/>
    <n v="900"/>
    <x v="27"/>
    <x v="4"/>
    <x v="1"/>
    <s v="T-Shirt"/>
  </r>
  <r>
    <n v="1148"/>
    <x v="2"/>
    <x v="6"/>
    <x v="127"/>
    <n v="2"/>
    <n v="1800"/>
    <x v="1"/>
    <x v="4"/>
    <x v="4"/>
    <s v="Hoodie"/>
  </r>
  <r>
    <n v="1149"/>
    <x v="13"/>
    <x v="24"/>
    <x v="50"/>
    <n v="3"/>
    <n v="7500"/>
    <x v="38"/>
    <x v="2"/>
    <x v="7"/>
    <s v="Smart Watch"/>
  </r>
  <r>
    <n v="1150"/>
    <x v="4"/>
    <x v="16"/>
    <x v="128"/>
    <n v="4"/>
    <n v="7000"/>
    <x v="45"/>
    <x v="1"/>
    <x v="3"/>
    <s v="Bookshel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09019-29EF-467D-BD57-5F20968430E9}" name="PivotTable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9:B145" firstHeaderRow="1" firstDataRow="1" firstDataCol="1"/>
  <pivotFields count="10">
    <pivotField compact="0" outline="0" showAll="0"/>
    <pivotField axis="axisRow" compact="0" outline="0" showAll="0" measureFilter="1">
      <items count="21">
        <item x="17"/>
        <item x="8"/>
        <item x="2"/>
        <item x="0"/>
        <item x="11"/>
        <item x="5"/>
        <item x="19"/>
        <item x="16"/>
        <item x="6"/>
        <item x="3"/>
        <item x="18"/>
        <item x="15"/>
        <item x="4"/>
        <item x="12"/>
        <item x="13"/>
        <item x="10"/>
        <item x="14"/>
        <item x="7"/>
        <item x="9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>
      <items count="47">
        <item x="27"/>
        <item x="13"/>
        <item x="30"/>
        <item x="17"/>
        <item x="24"/>
        <item x="2"/>
        <item x="42"/>
        <item x="29"/>
        <item x="39"/>
        <item x="3"/>
        <item x="1"/>
        <item x="12"/>
        <item x="6"/>
        <item x="26"/>
        <item x="7"/>
        <item x="5"/>
        <item x="43"/>
        <item x="19"/>
        <item x="40"/>
        <item x="0"/>
        <item x="18"/>
        <item x="25"/>
        <item x="20"/>
        <item x="10"/>
        <item x="32"/>
        <item x="22"/>
        <item x="11"/>
        <item x="28"/>
        <item x="9"/>
        <item x="33"/>
        <item x="36"/>
        <item x="23"/>
        <item x="34"/>
        <item x="35"/>
        <item x="21"/>
        <item x="15"/>
        <item x="41"/>
        <item x="38"/>
        <item x="8"/>
        <item x="37"/>
        <item x="45"/>
        <item x="4"/>
        <item x="31"/>
        <item x="14"/>
        <item x="16"/>
        <item x="4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12"/>
    </i>
    <i>
      <x v="13"/>
    </i>
    <i>
      <x v="14"/>
    </i>
    <i>
      <x v="15"/>
    </i>
    <i>
      <x v="17"/>
    </i>
    <i t="grand">
      <x/>
    </i>
  </rowItems>
  <colItems count="1">
    <i/>
  </colItems>
  <dataFields count="1">
    <dataField name="Sum of Revenu" fld="6" baseField="0" baseItem="0"/>
  </dataFields>
  <pivotTableStyleInfo name="PivotStyleMedium9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8D43A-A5A1-4076-AEF4-A104A3D6B513}" name="PivotTable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4:B77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name="Months" axis="axisRow" compact="0" outline="0" showAll="0">
      <items count="13">
        <item x="7"/>
        <item x="0"/>
        <item x="6"/>
        <item x="3"/>
        <item x="10"/>
        <item x="8"/>
        <item x="5"/>
        <item x="4"/>
        <item x="11"/>
        <item x="1"/>
        <item x="9"/>
        <item x="2"/>
        <item t="default"/>
      </items>
    </pivotField>
    <pivotField compact="0" outline="0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DAF95-D216-48DB-890D-18B0889F41E7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B31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>
      <items count="130">
        <item x="99"/>
        <item x="74"/>
        <item x="38"/>
        <item x="121"/>
        <item x="87"/>
        <item x="90"/>
        <item x="10"/>
        <item x="77"/>
        <item x="61"/>
        <item x="50"/>
        <item x="19"/>
        <item x="11"/>
        <item x="39"/>
        <item x="67"/>
        <item x="49"/>
        <item x="114"/>
        <item x="0"/>
        <item x="76"/>
        <item x="70"/>
        <item x="31"/>
        <item x="116"/>
        <item x="14"/>
        <item x="78"/>
        <item x="18"/>
        <item x="81"/>
        <item x="57"/>
        <item x="84"/>
        <item x="26"/>
        <item x="32"/>
        <item x="102"/>
        <item x="7"/>
        <item x="98"/>
        <item x="48"/>
        <item x="58"/>
        <item x="47"/>
        <item x="97"/>
        <item x="25"/>
        <item x="79"/>
        <item x="128"/>
        <item x="66"/>
        <item x="3"/>
        <item x="103"/>
        <item x="51"/>
        <item x="113"/>
        <item x="110"/>
        <item x="94"/>
        <item x="15"/>
        <item x="53"/>
        <item x="22"/>
        <item x="71"/>
        <item x="88"/>
        <item x="55"/>
        <item x="68"/>
        <item x="28"/>
        <item x="96"/>
        <item x="93"/>
        <item x="12"/>
        <item x="83"/>
        <item x="115"/>
        <item x="46"/>
        <item x="72"/>
        <item x="86"/>
        <item x="122"/>
        <item x="5"/>
        <item x="16"/>
        <item x="8"/>
        <item x="124"/>
        <item x="64"/>
        <item x="106"/>
        <item x="42"/>
        <item x="44"/>
        <item x="82"/>
        <item x="118"/>
        <item x="120"/>
        <item x="33"/>
        <item x="108"/>
        <item x="127"/>
        <item x="100"/>
        <item x="23"/>
        <item x="101"/>
        <item x="36"/>
        <item x="4"/>
        <item x="111"/>
        <item x="119"/>
        <item x="20"/>
        <item x="85"/>
        <item x="104"/>
        <item x="52"/>
        <item x="30"/>
        <item x="27"/>
        <item x="17"/>
        <item x="112"/>
        <item x="40"/>
        <item x="109"/>
        <item x="95"/>
        <item x="125"/>
        <item x="123"/>
        <item x="56"/>
        <item x="37"/>
        <item x="80"/>
        <item x="126"/>
        <item x="29"/>
        <item x="60"/>
        <item x="41"/>
        <item x="1"/>
        <item x="91"/>
        <item x="62"/>
        <item x="92"/>
        <item x="65"/>
        <item x="24"/>
        <item x="105"/>
        <item x="73"/>
        <item x="89"/>
        <item x="13"/>
        <item x="45"/>
        <item x="43"/>
        <item x="2"/>
        <item x="69"/>
        <item x="63"/>
        <item x="35"/>
        <item x="59"/>
        <item x="21"/>
        <item x="6"/>
        <item x="9"/>
        <item x="107"/>
        <item x="34"/>
        <item x="117"/>
        <item x="54"/>
        <item x="7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name="Month" axis="axisRow" compact="0" outline="0" showAll="0">
      <items count="13">
        <item x="7"/>
        <item x="0"/>
        <item x="6"/>
        <item x="3"/>
        <item x="10"/>
        <item x="8"/>
        <item x="5"/>
        <item x="4"/>
        <item x="11"/>
        <item x="1"/>
        <item x="9"/>
        <item x="2"/>
        <item t="default"/>
      </items>
    </pivotField>
    <pivotField compact="0" outline="0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BD325-97FF-4CFA-A77A-211394773285}" name="PivotTable7" cacheId="4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14:B135" firstHeaderRow="1" firstDataRow="1" firstDataCol="1"/>
  <pivotFields count="10">
    <pivotField compact="0" outline="0" showAll="0"/>
    <pivotField axis="axisRow" compact="0" outline="0" showAll="0">
      <items count="21">
        <item x="17"/>
        <item x="8"/>
        <item x="2"/>
        <item x="0"/>
        <item x="11"/>
        <item x="5"/>
        <item x="19"/>
        <item x="16"/>
        <item x="6"/>
        <item x="3"/>
        <item x="18"/>
        <item x="15"/>
        <item x="4"/>
        <item x="12"/>
        <item x="13"/>
        <item x="10"/>
        <item x="14"/>
        <item x="7"/>
        <item x="9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venu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CDE80-2B29-4E3C-8BDB-9D579EBFF19F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1:C94" firstHeaderRow="0" firstDataRow="1" firstDataCol="1"/>
  <pivotFields count="10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name="Months" axis="axisRow" compact="0" outline="0" showAll="0">
      <items count="13">
        <item x="7"/>
        <item x="0"/>
        <item x="6"/>
        <item x="3"/>
        <item x="10"/>
        <item x="8"/>
        <item x="5"/>
        <item x="4"/>
        <item x="11"/>
        <item x="1"/>
        <item x="9"/>
        <item x="2"/>
        <item t="default"/>
      </items>
    </pivotField>
    <pivotField compact="0" outline="0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" fld="6" baseField="0" baseItem="0"/>
    <dataField name="Order Count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FFC04-763F-4C22-A958-46CEA2720F2A}" name="PivotTable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8:B110" firstHeaderRow="1" firstDataRow="1" firstDataCol="1"/>
  <pivotFields count="10">
    <pivotField compact="0" outline="0" showAll="0"/>
    <pivotField compact="0" outline="0" showAll="0"/>
    <pivotField axis="axisRow" compact="0" outline="0" showAll="0" measureFilter="1" sortType="descending">
      <items count="26">
        <item x="13"/>
        <item x="2"/>
        <item x="3"/>
        <item x="11"/>
        <item x="20"/>
        <item x="24"/>
        <item x="23"/>
        <item x="8"/>
        <item x="4"/>
        <item x="15"/>
        <item x="16"/>
        <item x="1"/>
        <item x="0"/>
        <item x="22"/>
        <item x="7"/>
        <item x="21"/>
        <item x="10"/>
        <item x="9"/>
        <item x="18"/>
        <item x="12"/>
        <item x="6"/>
        <item x="19"/>
        <item x="5"/>
        <item x="1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">
    <i>
      <x v="17"/>
    </i>
    <i>
      <x v="7"/>
    </i>
    <i>
      <x v="12"/>
    </i>
    <i>
      <x v="6"/>
    </i>
    <i>
      <x v="1"/>
    </i>
    <i>
      <x v="11"/>
    </i>
    <i>
      <x v="13"/>
    </i>
    <i>
      <x v="19"/>
    </i>
    <i>
      <x v="8"/>
    </i>
    <i>
      <x v="14"/>
    </i>
    <i>
      <x v="16"/>
    </i>
    <i t="grand">
      <x/>
    </i>
  </rowItems>
  <colItems count="1">
    <i/>
  </colItems>
  <dataFields count="1">
    <dataField name="Sum of quantity" fld="4" baseField="0" baseItem="0"/>
  </dataFields>
  <pivotTableStyleInfo name="PivotStyleMedium9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B6561-1988-42E7-A4DD-102671C0A580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9:B60" firstHeaderRow="1" firstDataRow="1" firstDataCol="1"/>
  <pivotFields count="10">
    <pivotField compact="0" outline="0" showAll="0"/>
    <pivotField axis="axisRow" compact="0" outline="0" showAll="0" measureFilter="1" sortType="descending">
      <items count="21">
        <item x="17"/>
        <item x="8"/>
        <item x="2"/>
        <item x="0"/>
        <item x="11"/>
        <item x="5"/>
        <item x="19"/>
        <item x="16"/>
        <item x="6"/>
        <item x="3"/>
        <item x="18"/>
        <item x="15"/>
        <item x="4"/>
        <item x="12"/>
        <item x="13"/>
        <item x="10"/>
        <item x="14"/>
        <item x="7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 v="15"/>
    </i>
    <i>
      <x v="17"/>
    </i>
    <i>
      <x v="14"/>
    </i>
    <i>
      <x v="12"/>
    </i>
    <i>
      <x v="13"/>
    </i>
    <i>
      <x v="7"/>
    </i>
    <i>
      <x v="11"/>
    </i>
    <i>
      <x v="4"/>
    </i>
    <i>
      <x v="5"/>
    </i>
    <i>
      <x v="8"/>
    </i>
    <i t="grand">
      <x/>
    </i>
  </rowItems>
  <colItems count="1">
    <i/>
  </colItems>
  <dataFields count="1">
    <dataField name="Sum of Revenu" fld="6" baseField="0" baseItem="0"/>
  </dataFields>
  <formats count="6"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1" type="button" dataOnly="0" labelOnly="1" outline="0" axis="axisRow" fieldPosition="0"/>
    </format>
    <format dxfId="39">
      <pivotArea dataOnly="0" labelOnly="1" outline="0" fieldPosition="0">
        <references count="1">
          <reference field="1" count="10">
            <x v="4"/>
            <x v="5"/>
            <x v="7"/>
            <x v="8"/>
            <x v="11"/>
            <x v="12"/>
            <x v="13"/>
            <x v="14"/>
            <x v="15"/>
            <x v="17"/>
          </reference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</formats>
  <pivotTableStyleInfo name="PivotStyleMedium9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BE90A-83FA-4546-B360-5986A437A17B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B14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ECABD-859D-46F9-BC52-FF33CCA4997F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7">
        <item x="0"/>
        <item x="4"/>
        <item x="2"/>
        <item x="1"/>
        <item x="3"/>
        <item x="5"/>
        <item t="default"/>
      </items>
    </pivotField>
    <pivotField compact="0" outline="0" showAll="0"/>
    <pivotField compact="0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88FA5-1561-454F-A5A1-805A47B5F1BD}" name="PivotTable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/>
  <pivotFields count="10">
    <pivotField compact="0" outline="0" showAll="0"/>
    <pivotField axis="axisRow" compact="0" outline="0" showAll="0" measureFilter="1" sortType="descending">
      <items count="21">
        <item x="17"/>
        <item x="8"/>
        <item x="2"/>
        <item x="0"/>
        <item x="11"/>
        <item x="5"/>
        <item x="19"/>
        <item x="16"/>
        <item x="6"/>
        <item x="3"/>
        <item x="18"/>
        <item x="15"/>
        <item x="4"/>
        <item x="12"/>
        <item x="13"/>
        <item x="10"/>
        <item x="14"/>
        <item x="7"/>
        <item x="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 v="15"/>
    </i>
    <i>
      <x v="17"/>
    </i>
    <i>
      <x v="14"/>
    </i>
    <i>
      <x v="12"/>
    </i>
    <i>
      <x v="13"/>
    </i>
    <i>
      <x v="7"/>
    </i>
    <i>
      <x v="11"/>
    </i>
    <i>
      <x v="4"/>
    </i>
    <i>
      <x v="5"/>
    </i>
    <i>
      <x v="8"/>
    </i>
    <i t="grand">
      <x/>
    </i>
  </rowItems>
  <colItems count="1">
    <i/>
  </colItems>
  <dataFields count="1">
    <dataField name="Sum of Revenu" fld="6" baseField="0" baseItem="0"/>
  </dataFields>
  <pivotTableStyleInfo name="PivotStyleMedium9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F54C6-3562-48DF-A94E-6135D31E07DE}" name="PivotTable1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0">
    <pivotField compact="0" outline="0" showAll="0"/>
    <pivotField axis="axisRow" compact="0" outline="0" showAll="0" measureFilter="1">
      <items count="21">
        <item x="17"/>
        <item x="8"/>
        <item x="2"/>
        <item x="0"/>
        <item x="11"/>
        <item x="5"/>
        <item x="19"/>
        <item x="16"/>
        <item x="6"/>
        <item x="3"/>
        <item x="18"/>
        <item x="15"/>
        <item x="4"/>
        <item x="12"/>
        <item x="13"/>
        <item x="10"/>
        <item x="14"/>
        <item x="7"/>
        <item x="9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>
      <items count="47">
        <item x="27"/>
        <item x="13"/>
        <item x="30"/>
        <item x="17"/>
        <item x="24"/>
        <item x="2"/>
        <item x="42"/>
        <item x="29"/>
        <item x="39"/>
        <item x="3"/>
        <item x="1"/>
        <item x="12"/>
        <item x="6"/>
        <item x="26"/>
        <item x="7"/>
        <item x="5"/>
        <item x="43"/>
        <item x="19"/>
        <item x="40"/>
        <item x="0"/>
        <item x="18"/>
        <item x="25"/>
        <item x="20"/>
        <item x="10"/>
        <item x="32"/>
        <item x="22"/>
        <item x="11"/>
        <item x="28"/>
        <item x="9"/>
        <item x="33"/>
        <item x="36"/>
        <item x="23"/>
        <item x="34"/>
        <item x="35"/>
        <item x="21"/>
        <item x="15"/>
        <item x="41"/>
        <item x="38"/>
        <item x="8"/>
        <item x="37"/>
        <item x="45"/>
        <item x="4"/>
        <item x="31"/>
        <item x="14"/>
        <item x="16"/>
        <item x="4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12"/>
    </i>
    <i>
      <x v="13"/>
    </i>
    <i>
      <x v="14"/>
    </i>
    <i>
      <x v="15"/>
    </i>
    <i>
      <x v="17"/>
    </i>
    <i t="grand">
      <x/>
    </i>
  </rowItems>
  <colItems count="1">
    <i/>
  </colItems>
  <dataFields count="1">
    <dataField name="Sum of Revenu" fld="6" baseField="0" baseItem="0"/>
  </dataFields>
  <pivotTableStyleInfo name="PivotStyleMedium9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4EAC2-B9D9-4607-92F6-AFFF5B14D8F3}" name="PivotTable11" cacheId="4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:B24" firstHeaderRow="1" firstDataRow="1" firstDataCol="1"/>
  <pivotFields count="10">
    <pivotField compact="0" outline="0" showAll="0"/>
    <pivotField axis="axisRow" compact="0" outline="0" showAll="0">
      <items count="21">
        <item x="17"/>
        <item x="8"/>
        <item x="2"/>
        <item x="0"/>
        <item x="11"/>
        <item x="5"/>
        <item x="19"/>
        <item x="16"/>
        <item x="6"/>
        <item x="3"/>
        <item x="18"/>
        <item x="15"/>
        <item x="4"/>
        <item x="12"/>
        <item x="13"/>
        <item x="10"/>
        <item x="14"/>
        <item x="7"/>
        <item x="9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venu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E5C12-D319-49E9-8403-EEBDF2D9EEE5}" name="PivotTable1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1"/>
  <pivotFields count="10">
    <pivotField compact="0" outline="0" showAll="0"/>
    <pivotField compact="0" outline="0" showAll="0"/>
    <pivotField axis="axisRow" compact="0" outline="0" showAll="0" measureFilter="1" sortType="descending">
      <items count="26">
        <item x="13"/>
        <item x="2"/>
        <item x="3"/>
        <item x="11"/>
        <item x="20"/>
        <item x="24"/>
        <item x="23"/>
        <item x="8"/>
        <item x="4"/>
        <item x="15"/>
        <item x="16"/>
        <item x="1"/>
        <item x="0"/>
        <item x="22"/>
        <item x="7"/>
        <item x="21"/>
        <item x="10"/>
        <item x="9"/>
        <item x="18"/>
        <item x="12"/>
        <item x="6"/>
        <item x="19"/>
        <item x="5"/>
        <item x="1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">
    <i>
      <x v="17"/>
    </i>
    <i>
      <x v="7"/>
    </i>
    <i>
      <x v="12"/>
    </i>
    <i>
      <x v="6"/>
    </i>
    <i>
      <x v="1"/>
    </i>
    <i>
      <x v="11"/>
    </i>
    <i>
      <x v="13"/>
    </i>
    <i>
      <x v="19"/>
    </i>
    <i>
      <x v="8"/>
    </i>
    <i>
      <x v="14"/>
    </i>
    <i>
      <x v="16"/>
    </i>
    <i t="grand">
      <x/>
    </i>
  </rowItems>
  <colItems count="1">
    <i/>
  </colItems>
  <dataFields count="1">
    <dataField name="Sum of quantity" fld="4" baseField="0" baseItem="0"/>
  </dataFields>
  <pivotTableStyleInfo name="PivotStyleMedium9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A73AF-8EA4-470D-B257-BE08A9832A96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>
      <items count="130">
        <item x="99"/>
        <item x="74"/>
        <item x="38"/>
        <item x="121"/>
        <item x="87"/>
        <item x="90"/>
        <item x="10"/>
        <item x="77"/>
        <item x="61"/>
        <item x="50"/>
        <item x="19"/>
        <item x="11"/>
        <item x="39"/>
        <item x="67"/>
        <item x="49"/>
        <item x="114"/>
        <item x="0"/>
        <item x="76"/>
        <item x="70"/>
        <item x="31"/>
        <item x="116"/>
        <item x="14"/>
        <item x="78"/>
        <item x="18"/>
        <item x="81"/>
        <item x="57"/>
        <item x="84"/>
        <item x="26"/>
        <item x="32"/>
        <item x="102"/>
        <item x="7"/>
        <item x="98"/>
        <item x="48"/>
        <item x="58"/>
        <item x="47"/>
        <item x="97"/>
        <item x="25"/>
        <item x="79"/>
        <item x="128"/>
        <item x="66"/>
        <item x="3"/>
        <item x="103"/>
        <item x="51"/>
        <item x="113"/>
        <item x="110"/>
        <item x="94"/>
        <item x="15"/>
        <item x="53"/>
        <item x="22"/>
        <item x="71"/>
        <item x="88"/>
        <item x="55"/>
        <item x="68"/>
        <item x="28"/>
        <item x="96"/>
        <item x="93"/>
        <item x="12"/>
        <item x="83"/>
        <item x="115"/>
        <item x="46"/>
        <item x="72"/>
        <item x="86"/>
        <item x="122"/>
        <item x="5"/>
        <item x="16"/>
        <item x="8"/>
        <item x="124"/>
        <item x="64"/>
        <item x="106"/>
        <item x="42"/>
        <item x="44"/>
        <item x="82"/>
        <item x="118"/>
        <item x="120"/>
        <item x="33"/>
        <item x="108"/>
        <item x="127"/>
        <item x="100"/>
        <item x="23"/>
        <item x="101"/>
        <item x="36"/>
        <item x="4"/>
        <item x="111"/>
        <item x="119"/>
        <item x="20"/>
        <item x="85"/>
        <item x="104"/>
        <item x="52"/>
        <item x="30"/>
        <item x="27"/>
        <item x="17"/>
        <item x="112"/>
        <item x="40"/>
        <item x="109"/>
        <item x="95"/>
        <item x="125"/>
        <item x="123"/>
        <item x="56"/>
        <item x="37"/>
        <item x="80"/>
        <item x="126"/>
        <item x="29"/>
        <item x="60"/>
        <item x="41"/>
        <item x="1"/>
        <item x="91"/>
        <item x="62"/>
        <item x="92"/>
        <item x="65"/>
        <item x="24"/>
        <item x="105"/>
        <item x="73"/>
        <item x="89"/>
        <item x="13"/>
        <item x="45"/>
        <item x="43"/>
        <item x="2"/>
        <item x="69"/>
        <item x="63"/>
        <item x="35"/>
        <item x="59"/>
        <item x="21"/>
        <item x="6"/>
        <item x="9"/>
        <item x="107"/>
        <item x="34"/>
        <item x="117"/>
        <item x="54"/>
        <item x="7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name="Month" axis="axisRow" compact="0" outline="0" showAll="0">
      <items count="13">
        <item x="7"/>
        <item x="0"/>
        <item x="6"/>
        <item x="3"/>
        <item x="10"/>
        <item x="8"/>
        <item x="5"/>
        <item x="4"/>
        <item x="11"/>
        <item x="1"/>
        <item x="9"/>
        <item x="2"/>
        <item t="default"/>
      </items>
    </pivotField>
    <pivotField compact="0" outline="0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1A80F-0E9E-4A7E-B679-6C275667FF41}" name="PivotTable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name="Months" axis="axisRow" compact="0" outline="0" showAll="0">
      <items count="13">
        <item x="7"/>
        <item x="0"/>
        <item x="6"/>
        <item x="3"/>
        <item x="10"/>
        <item x="8"/>
        <item x="5"/>
        <item x="4"/>
        <item x="11"/>
        <item x="1"/>
        <item x="9"/>
        <item x="2"/>
        <item t="default"/>
      </items>
    </pivotField>
    <pivotField compact="0" outline="0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3285A-EF6F-4632-84DA-93350D8D88DB}" name="PivotTable9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6" firstHeaderRow="0" firstDataRow="1" firstDataCol="1"/>
  <pivotFields count="10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name="Months" axis="axisRow" compact="0" outline="0" showAll="0">
      <items count="13">
        <item x="7"/>
        <item x="0"/>
        <item x="6"/>
        <item x="3"/>
        <item x="10"/>
        <item x="8"/>
        <item x="5"/>
        <item x="4"/>
        <item x="11"/>
        <item x="1"/>
        <item x="9"/>
        <item x="2"/>
        <item t="default"/>
      </items>
    </pivotField>
    <pivotField compact="0" outline="0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" fld="6" baseField="0" baseItem="0"/>
    <dataField name="Order Count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D65F9-7633-42ED-9E95-54BDA7A8E2B4}" name="Table2" displayName="Table2" ref="A1:D21" totalsRowShown="0" headerRowDxfId="35" dataDxfId="34">
  <autoFilter ref="A1:D21" xr:uid="{040D65F9-7633-42ED-9E95-54BDA7A8E2B4}"/>
  <tableColumns count="4">
    <tableColumn id="1" xr3:uid="{42B21EF0-6CEB-4ECB-98FA-2BEADACAA520}" name="customer_id" dataDxfId="33"/>
    <tableColumn id="2" xr3:uid="{E128BBA1-D205-4B36-9F83-929F113FA5AB}" name="customer_name" dataDxfId="32"/>
    <tableColumn id="3" xr3:uid="{1E3BF011-B03A-499F-A9D4-78292FED73A7}" name="city" dataDxfId="31"/>
    <tableColumn id="4" xr3:uid="{27FC1622-D44C-405A-8BEA-2CC6982CC551}" name="signup_date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0119F2-005A-49F7-8584-0642D5F77A76}" name="Table3" displayName="Table3" ref="A1:J152" totalsRowCount="1">
  <autoFilter ref="A1:J151" xr:uid="{E70119F2-005A-49F7-8584-0642D5F77A76}"/>
  <tableColumns count="10">
    <tableColumn id="1" xr3:uid="{4B73EE8C-5AC8-40D7-BC5D-2173AE3280A4}" name="order_id"/>
    <tableColumn id="2" xr3:uid="{EE7B6BA2-D606-487A-A1A6-8C73D363509A}" name="customer_id"/>
    <tableColumn id="3" xr3:uid="{A3382054-BFAD-437C-8D49-E3C91F868F3F}" name="product_id"/>
    <tableColumn id="4" xr3:uid="{5C25E512-38F0-4340-922D-A93943BED584}" name="order_date" dataDxfId="28" totalsRowDxfId="29"/>
    <tableColumn id="5" xr3:uid="{1EAD15CA-BD3B-4EAE-84E8-F12171C0DC1D}" name="quantity"/>
    <tableColumn id="6" xr3:uid="{036D3EC1-7B5C-4FAB-854D-8162EDA2C77B}" name="Product Price" dataDxfId="26" totalsRowDxfId="27">
      <calculatedColumnFormula>_xlfn.XLOOKUP(C2,Products!A:A,Products!D:D)</calculatedColumnFormula>
    </tableColumn>
    <tableColumn id="7" xr3:uid="{3630DBF6-E3EF-44E8-9BE2-E1F8CBB412F4}" name="Revenu" totalsRowFunction="custom" dataDxfId="24" totalsRowDxfId="25">
      <calculatedColumnFormula>Table3[[#This Row],[quantity]]*Table3[[#This Row],[Product Price]]</calculatedColumnFormula>
      <totalsRowFormula>SUM(Table3[Revenu])</totalsRowFormula>
    </tableColumn>
    <tableColumn id="8" xr3:uid="{4A608090-67E6-414D-95E7-12D39750D6CD}" name="Category" dataDxfId="23">
      <calculatedColumnFormula>_xlfn.XLOOKUP(C2,Products!A:A,Products!C:C)</calculatedColumnFormula>
    </tableColumn>
    <tableColumn id="9" xr3:uid="{E44A0E5A-EC8D-4F4F-8F37-D906EE100D21}" name="month number" dataDxfId="22">
      <calculatedColumnFormula>MONTH(D2)</calculatedColumnFormula>
    </tableColumn>
    <tableColumn id="10" xr3:uid="{57399B52-77AB-48A1-9AB9-A35051824CA9}" name="Category2" dataDxfId="21">
      <calculatedColumnFormula>_xlfn.XLOOKUP(C2,Products!A:A,Products!B:B)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809AE6-598E-4559-B0DD-519A3550F2C9}" name="Table4" displayName="Table4" ref="A1:E26" totalsRowShown="0" headerRowDxfId="20" dataDxfId="19">
  <autoFilter ref="A1:E26" xr:uid="{86809AE6-598E-4559-B0DD-519A3550F2C9}"/>
  <sortState xmlns:xlrd2="http://schemas.microsoft.com/office/spreadsheetml/2017/richdata2" ref="A2:E26">
    <sortCondition descending="1" ref="E1:E26"/>
  </sortState>
  <tableColumns count="5">
    <tableColumn id="1" xr3:uid="{6CDEC9A8-BED3-40DA-8D8B-0DBFCB7613A8}" name="product_id" dataDxfId="18"/>
    <tableColumn id="2" xr3:uid="{7D19A2DB-E0F3-4B01-967D-2F2898C2F5D6}" name="product_name" dataDxfId="17"/>
    <tableColumn id="3" xr3:uid="{C4518FDB-AC67-443B-94CB-D11B5D05EBE6}" name="category" dataDxfId="16"/>
    <tableColumn id="4" xr3:uid="{A19520BF-11BA-4DA0-B9FD-B73BFC0EAC91}" name="price" dataDxfId="15"/>
    <tableColumn id="5" xr3:uid="{1A9BD5AE-0417-4CC6-9548-847F08FAFEC8}" name="Total revenue" dataDxfId="14">
      <calculatedColumnFormula>SUMIF(Orders!C:C,A2,Orders!G:G)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46856D-72C9-4BDA-AA87-BD76E6EC6DBD}" name="Table427" displayName="Table427" ref="A35:E45" totalsRowShown="0" headerRowDxfId="13" dataDxfId="12">
  <autoFilter ref="A35:E45" xr:uid="{DE46856D-72C9-4BDA-AA87-BD76E6EC6DBD}"/>
  <tableColumns count="5">
    <tableColumn id="1" xr3:uid="{B174177F-93AE-42FB-8BA4-7302FA556320}" name="product_id" dataDxfId="11"/>
    <tableColumn id="2" xr3:uid="{2643B06B-4664-4FF2-A8FB-6A05632AFAD1}" name="product_name" dataDxfId="10"/>
    <tableColumn id="3" xr3:uid="{10BF3EF0-7FA5-45F5-A1B0-46A2B7B6BA22}" name="category" dataDxfId="9"/>
    <tableColumn id="4" xr3:uid="{B28307E1-8BA7-4C64-AC14-50E4FE7FC3A3}" name="price" dataDxfId="8"/>
    <tableColumn id="5" xr3:uid="{123B11CA-3C6D-4557-B359-55FCD7A4D122}" name="Total revenue" dataDxfId="7">
      <calculatedColumnFormula>SUMIF(Orders!C:C,A36,Orders!G:G)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28381-7A61-4B28-B3C1-EE99A65239D1}" name="Table42" displayName="Table42" ref="A1:E11" totalsRowShown="0" headerRowDxfId="6" dataDxfId="5">
  <autoFilter ref="A1:E11" xr:uid="{86809AE6-598E-4559-B0DD-519A3550F2C9}"/>
  <sortState xmlns:xlrd2="http://schemas.microsoft.com/office/spreadsheetml/2017/richdata2" ref="A2:E11">
    <sortCondition descending="1" ref="E1:E11"/>
  </sortState>
  <tableColumns count="5">
    <tableColumn id="1" xr3:uid="{8B75A6FA-A654-498D-A57B-8AE67BEDD8D0}" name="product_id" dataDxfId="4"/>
    <tableColumn id="2" xr3:uid="{29592885-B05E-4F6F-A022-7D6DCFD0B5C1}" name="product_name" dataDxfId="3"/>
    <tableColumn id="3" xr3:uid="{F828B68F-4848-449D-B9B8-13C5B5132D96}" name="category" dataDxfId="2"/>
    <tableColumn id="4" xr3:uid="{C08C8BFB-55F1-420B-A73D-5369926F0494}" name="price" dataDxfId="1"/>
    <tableColumn id="5" xr3:uid="{6B37EFD2-0917-4FDA-9CB8-D0A1BBD15A23}" name="Total revenue" dataDxfId="0">
      <calculatedColumnFormula>SUMIF(Orders!C:C,A2,Orders!G:G)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G18" sqref="G18"/>
    </sheetView>
  </sheetViews>
  <sheetFormatPr defaultRowHeight="15"/>
  <cols>
    <col min="1" max="1" width="14.5703125" bestFit="1" customWidth="1"/>
    <col min="2" max="2" width="18" bestFit="1" customWidth="1"/>
    <col min="3" max="3" width="11.7109375" bestFit="1" customWidth="1"/>
    <col min="4" max="4" width="14.42578125" style="4" bestFit="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>
        <v>1</v>
      </c>
      <c r="B2" s="1" t="s">
        <v>4</v>
      </c>
      <c r="C2" s="1" t="s">
        <v>5</v>
      </c>
      <c r="D2" s="3">
        <v>45748</v>
      </c>
    </row>
    <row r="3" spans="1:4">
      <c r="A3" s="1">
        <v>2</v>
      </c>
      <c r="B3" s="1" t="s">
        <v>6</v>
      </c>
      <c r="C3" s="1" t="s">
        <v>7</v>
      </c>
      <c r="D3" s="2" t="s">
        <v>8</v>
      </c>
    </row>
    <row r="4" spans="1:4">
      <c r="A4" s="1">
        <v>3</v>
      </c>
      <c r="B4" s="1" t="s">
        <v>9</v>
      </c>
      <c r="C4" s="1" t="s">
        <v>10</v>
      </c>
      <c r="D4" s="2" t="s">
        <v>11</v>
      </c>
    </row>
    <row r="5" spans="1:4">
      <c r="A5" s="1">
        <v>4</v>
      </c>
      <c r="B5" s="1" t="s">
        <v>12</v>
      </c>
      <c r="C5" s="1" t="s">
        <v>13</v>
      </c>
      <c r="D5" s="3">
        <v>45785</v>
      </c>
    </row>
    <row r="6" spans="1:4">
      <c r="A6" s="1">
        <v>5</v>
      </c>
      <c r="B6" s="1" t="s">
        <v>14</v>
      </c>
      <c r="C6" s="1" t="s">
        <v>13</v>
      </c>
      <c r="D6" s="2" t="s">
        <v>15</v>
      </c>
    </row>
    <row r="7" spans="1:4">
      <c r="A7" s="1">
        <v>6</v>
      </c>
      <c r="B7" s="1" t="s">
        <v>16</v>
      </c>
      <c r="C7" s="1" t="s">
        <v>17</v>
      </c>
      <c r="D7" s="2" t="s">
        <v>18</v>
      </c>
    </row>
    <row r="8" spans="1:4">
      <c r="A8" s="1">
        <v>7</v>
      </c>
      <c r="B8" s="1" t="s">
        <v>19</v>
      </c>
      <c r="C8" s="1" t="s">
        <v>5</v>
      </c>
      <c r="D8" s="2" t="s">
        <v>20</v>
      </c>
    </row>
    <row r="9" spans="1:4">
      <c r="A9" s="1">
        <v>8</v>
      </c>
      <c r="B9" s="1" t="s">
        <v>21</v>
      </c>
      <c r="C9" s="1" t="s">
        <v>5</v>
      </c>
      <c r="D9" s="2" t="s">
        <v>22</v>
      </c>
    </row>
    <row r="10" spans="1:4">
      <c r="A10" s="1">
        <v>9</v>
      </c>
      <c r="B10" s="1" t="s">
        <v>23</v>
      </c>
      <c r="C10" s="1" t="s">
        <v>24</v>
      </c>
      <c r="D10" s="2" t="s">
        <v>25</v>
      </c>
    </row>
    <row r="11" spans="1:4">
      <c r="A11" s="1">
        <v>10</v>
      </c>
      <c r="B11" s="1" t="s">
        <v>26</v>
      </c>
      <c r="C11" s="1" t="s">
        <v>7</v>
      </c>
      <c r="D11" s="2" t="s">
        <v>27</v>
      </c>
    </row>
    <row r="12" spans="1:4">
      <c r="A12" s="1">
        <v>11</v>
      </c>
      <c r="B12" s="1" t="s">
        <v>28</v>
      </c>
      <c r="C12" s="1" t="s">
        <v>7</v>
      </c>
      <c r="D12" s="2" t="s">
        <v>29</v>
      </c>
    </row>
    <row r="13" spans="1:4">
      <c r="A13" s="1">
        <v>12</v>
      </c>
      <c r="B13" s="1" t="s">
        <v>30</v>
      </c>
      <c r="C13" s="1" t="s">
        <v>5</v>
      </c>
      <c r="D13" s="2" t="s">
        <v>31</v>
      </c>
    </row>
    <row r="14" spans="1:4">
      <c r="A14" s="1">
        <v>13</v>
      </c>
      <c r="B14" s="1" t="s">
        <v>32</v>
      </c>
      <c r="C14" s="1" t="s">
        <v>13</v>
      </c>
      <c r="D14" s="2" t="s">
        <v>33</v>
      </c>
    </row>
    <row r="15" spans="1:4">
      <c r="A15" s="1">
        <v>14</v>
      </c>
      <c r="B15" s="1" t="s">
        <v>34</v>
      </c>
      <c r="C15" s="1" t="s">
        <v>13</v>
      </c>
      <c r="D15" s="3">
        <v>45723</v>
      </c>
    </row>
    <row r="16" spans="1:4">
      <c r="A16" s="1">
        <v>15</v>
      </c>
      <c r="B16" s="1" t="s">
        <v>35</v>
      </c>
      <c r="C16" s="1" t="s">
        <v>7</v>
      </c>
      <c r="D16" s="2" t="s">
        <v>36</v>
      </c>
    </row>
    <row r="17" spans="1:4">
      <c r="A17" s="1">
        <v>16</v>
      </c>
      <c r="B17" s="1" t="s">
        <v>37</v>
      </c>
      <c r="C17" s="1" t="s">
        <v>13</v>
      </c>
      <c r="D17" s="3">
        <v>45819</v>
      </c>
    </row>
    <row r="18" spans="1:4">
      <c r="A18" s="1">
        <v>17</v>
      </c>
      <c r="B18" s="1" t="s">
        <v>38</v>
      </c>
      <c r="C18" s="1" t="s">
        <v>24</v>
      </c>
      <c r="D18" s="2" t="s">
        <v>39</v>
      </c>
    </row>
    <row r="19" spans="1:4">
      <c r="A19" s="1">
        <v>18</v>
      </c>
      <c r="B19" s="1" t="s">
        <v>40</v>
      </c>
      <c r="C19" s="1" t="s">
        <v>13</v>
      </c>
      <c r="D19" s="2" t="s">
        <v>41</v>
      </c>
    </row>
    <row r="20" spans="1:4">
      <c r="A20" s="1">
        <v>19</v>
      </c>
      <c r="B20" s="1" t="s">
        <v>42</v>
      </c>
      <c r="C20" s="1" t="s">
        <v>43</v>
      </c>
      <c r="D20" s="2" t="s">
        <v>44</v>
      </c>
    </row>
    <row r="21" spans="1:4">
      <c r="A21" s="1">
        <v>20</v>
      </c>
      <c r="B21" s="1" t="s">
        <v>45</v>
      </c>
      <c r="C21" s="1" t="s">
        <v>10</v>
      </c>
      <c r="D21" s="3">
        <v>45698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16C9-43D7-4E3B-95A4-49DC29340A93}">
  <dimension ref="A1:J152"/>
  <sheetViews>
    <sheetView workbookViewId="0">
      <selection activeCell="D16" sqref="D16"/>
    </sheetView>
  </sheetViews>
  <sheetFormatPr defaultRowHeight="15"/>
  <cols>
    <col min="1" max="1" width="11.140625" bestFit="1" customWidth="1"/>
    <col min="2" max="2" width="14.5703125" bestFit="1" customWidth="1"/>
    <col min="3" max="3" width="13.140625" bestFit="1" customWidth="1"/>
    <col min="4" max="4" width="13.42578125" bestFit="1" customWidth="1"/>
    <col min="5" max="5" width="11" bestFit="1" customWidth="1"/>
    <col min="6" max="6" width="21.42578125" customWidth="1"/>
    <col min="7" max="7" width="10.140625" bestFit="1" customWidth="1"/>
    <col min="8" max="8" width="17.7109375" customWidth="1"/>
    <col min="9" max="9" width="17.140625" customWidth="1"/>
    <col min="10" max="10" width="21.7109375" bestFit="1" customWidth="1"/>
  </cols>
  <sheetData>
    <row r="1" spans="1:10">
      <c r="A1" t="s">
        <v>46</v>
      </c>
      <c r="B1" t="s">
        <v>0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</row>
    <row r="2" spans="1:10">
      <c r="A2">
        <v>1001</v>
      </c>
      <c r="B2">
        <v>4</v>
      </c>
      <c r="C2">
        <v>113</v>
      </c>
      <c r="D2" s="5">
        <v>45698</v>
      </c>
      <c r="E2">
        <v>3</v>
      </c>
      <c r="F2">
        <f>_xlfn.XLOOKUP(C2,Products!A:A,Products!D:D)</f>
        <v>2200</v>
      </c>
      <c r="G2">
        <f>Table3[[#This Row],[quantity]]*Table3[[#This Row],[Product Price]]</f>
        <v>6600</v>
      </c>
      <c r="H2" t="str">
        <f>_xlfn.XLOOKUP(C2,Products!A:A,Products!C:C)</f>
        <v>Accessories</v>
      </c>
      <c r="I2" s="6">
        <f t="shared" ref="I2:I33" si="0">MONTH(D2)</f>
        <v>2</v>
      </c>
      <c r="J2" s="6" t="str">
        <f>_xlfn.XLOOKUP(C2,Products!A:A,Products!B:B)</f>
        <v>Backpack</v>
      </c>
    </row>
    <row r="3" spans="1:10">
      <c r="A3">
        <v>1002</v>
      </c>
      <c r="B3">
        <v>20</v>
      </c>
      <c r="C3">
        <v>112</v>
      </c>
      <c r="D3" s="5">
        <v>45953</v>
      </c>
      <c r="E3">
        <v>2</v>
      </c>
      <c r="F3">
        <f>_xlfn.XLOOKUP(C3,Products!A:A,Products!D:D)</f>
        <v>1800</v>
      </c>
      <c r="G3">
        <f>Table3[[#This Row],[quantity]]*Table3[[#This Row],[Product Price]]</f>
        <v>3600</v>
      </c>
      <c r="H3" t="str">
        <f>_xlfn.XLOOKUP(C3,Products!A:A,Products!C:C)</f>
        <v>Furniture</v>
      </c>
      <c r="I3" s="6">
        <f t="shared" si="0"/>
        <v>10</v>
      </c>
      <c r="J3" s="6" t="str">
        <f>_xlfn.XLOOKUP(C3,Products!A:A,Products!B:B)</f>
        <v>Table Lamp</v>
      </c>
    </row>
    <row r="4" spans="1:10">
      <c r="A4">
        <v>1003</v>
      </c>
      <c r="B4">
        <v>3</v>
      </c>
      <c r="C4">
        <v>102</v>
      </c>
      <c r="D4" s="5">
        <v>45996</v>
      </c>
      <c r="E4">
        <v>2</v>
      </c>
      <c r="F4">
        <f>_xlfn.XLOOKUP(C4,Products!A:A,Products!D:D)</f>
        <v>1200</v>
      </c>
      <c r="G4">
        <f>Table3[[#This Row],[quantity]]*Table3[[#This Row],[Product Price]]</f>
        <v>2400</v>
      </c>
      <c r="H4" t="str">
        <f>_xlfn.XLOOKUP(C4,Products!A:A,Products!C:C)</f>
        <v>Electronics</v>
      </c>
      <c r="I4" s="6">
        <f t="shared" si="0"/>
        <v>12</v>
      </c>
      <c r="J4" s="6" t="str">
        <f>_xlfn.XLOOKUP(C4,Products!A:A,Products!B:B)</f>
        <v>Wireless Mouse</v>
      </c>
    </row>
    <row r="5" spans="1:10">
      <c r="A5">
        <v>1004</v>
      </c>
      <c r="B5">
        <v>10</v>
      </c>
      <c r="C5">
        <v>103</v>
      </c>
      <c r="D5" s="5">
        <v>45777</v>
      </c>
      <c r="E5">
        <v>1</v>
      </c>
      <c r="F5">
        <f>_xlfn.XLOOKUP(C5,Products!A:A,Products!D:D)</f>
        <v>3500</v>
      </c>
      <c r="G5">
        <f>Table3[[#This Row],[quantity]]*Table3[[#This Row],[Product Price]]</f>
        <v>3500</v>
      </c>
      <c r="H5" t="str">
        <f>_xlfn.XLOOKUP(C5,Products!A:A,Products!C:C)</f>
        <v>Electronics</v>
      </c>
      <c r="I5" s="6">
        <f t="shared" si="0"/>
        <v>4</v>
      </c>
      <c r="J5" s="6" t="str">
        <f>_xlfn.XLOOKUP(C5,Products!A:A,Products!B:B)</f>
        <v>Mechanical Keyboard</v>
      </c>
    </row>
    <row r="6" spans="1:10">
      <c r="A6">
        <v>1005</v>
      </c>
      <c r="B6">
        <v>13</v>
      </c>
      <c r="C6">
        <v>109</v>
      </c>
      <c r="D6" s="5">
        <v>45890</v>
      </c>
      <c r="E6">
        <v>3</v>
      </c>
      <c r="F6">
        <f>_xlfn.XLOOKUP(C6,Products!A:A,Products!D:D)</f>
        <v>12000</v>
      </c>
      <c r="G6">
        <f>Table3[[#This Row],[quantity]]*Table3[[#This Row],[Product Price]]</f>
        <v>36000</v>
      </c>
      <c r="H6" t="str">
        <f>_xlfn.XLOOKUP(C6,Products!A:A,Products!C:C)</f>
        <v>Furniture</v>
      </c>
      <c r="I6" s="6">
        <f t="shared" si="0"/>
        <v>8</v>
      </c>
      <c r="J6" s="6" t="str">
        <f>_xlfn.XLOOKUP(C6,Products!A:A,Products!B:B)</f>
        <v>Office Chair</v>
      </c>
    </row>
    <row r="7" spans="1:10">
      <c r="A7">
        <v>1006</v>
      </c>
      <c r="B7">
        <v>6</v>
      </c>
      <c r="C7">
        <v>112</v>
      </c>
      <c r="D7" s="5">
        <v>45839</v>
      </c>
      <c r="E7">
        <v>2</v>
      </c>
      <c r="F7">
        <f>_xlfn.XLOOKUP(C7,Products!A:A,Products!D:D)</f>
        <v>1800</v>
      </c>
      <c r="G7">
        <f>Table3[[#This Row],[quantity]]*Table3[[#This Row],[Product Price]]</f>
        <v>3600</v>
      </c>
      <c r="H7" t="str">
        <f>_xlfn.XLOOKUP(C7,Products!A:A,Products!C:C)</f>
        <v>Furniture</v>
      </c>
      <c r="I7" s="6">
        <f t="shared" si="0"/>
        <v>7</v>
      </c>
      <c r="J7" s="6" t="str">
        <f>_xlfn.XLOOKUP(C7,Products!A:A,Products!B:B)</f>
        <v>Table Lamp</v>
      </c>
    </row>
    <row r="8" spans="1:10">
      <c r="A8">
        <v>1007</v>
      </c>
      <c r="B8">
        <v>9</v>
      </c>
      <c r="C8">
        <v>123</v>
      </c>
      <c r="D8" s="5">
        <v>46007</v>
      </c>
      <c r="E8">
        <v>1</v>
      </c>
      <c r="F8">
        <f>_xlfn.XLOOKUP(C8,Products!A:A,Products!D:D)</f>
        <v>5500</v>
      </c>
      <c r="G8">
        <f>Table3[[#This Row],[quantity]]*Table3[[#This Row],[Product Price]]</f>
        <v>5500</v>
      </c>
      <c r="H8" t="str">
        <f>_xlfn.XLOOKUP(C8,Products!A:A,Products!C:C)</f>
        <v>Home Appliances</v>
      </c>
      <c r="I8" s="6">
        <f t="shared" si="0"/>
        <v>12</v>
      </c>
      <c r="J8" s="6" t="str">
        <f>_xlfn.XLOOKUP(C8,Products!A:A,Products!B:B)</f>
        <v>Coffee Maker</v>
      </c>
    </row>
    <row r="9" spans="1:10">
      <c r="A9">
        <v>1008</v>
      </c>
      <c r="B9">
        <v>20</v>
      </c>
      <c r="C9">
        <v>121</v>
      </c>
      <c r="D9" s="5">
        <v>45745</v>
      </c>
      <c r="E9">
        <v>2</v>
      </c>
      <c r="F9">
        <f>_xlfn.XLOOKUP(C9,Products!A:A,Products!D:D)</f>
        <v>1800</v>
      </c>
      <c r="G9">
        <f>Table3[[#This Row],[quantity]]*Table3[[#This Row],[Product Price]]</f>
        <v>3600</v>
      </c>
      <c r="H9" t="str">
        <f>_xlfn.XLOOKUP(C9,Products!A:A,Products!C:C)</f>
        <v>Clothing</v>
      </c>
      <c r="I9" s="6">
        <f t="shared" si="0"/>
        <v>3</v>
      </c>
      <c r="J9" s="6" t="str">
        <f>_xlfn.XLOOKUP(C9,Products!A:A,Products!B:B)</f>
        <v>Hoodie</v>
      </c>
    </row>
    <row r="10" spans="1:10">
      <c r="A10">
        <v>1009</v>
      </c>
      <c r="B10">
        <v>6</v>
      </c>
      <c r="C10">
        <v>115</v>
      </c>
      <c r="D10" s="5">
        <v>45852</v>
      </c>
      <c r="E10">
        <v>3</v>
      </c>
      <c r="F10">
        <f>_xlfn.XLOOKUP(C10,Products!A:A,Products!D:D)</f>
        <v>1500</v>
      </c>
      <c r="G10">
        <f>Table3[[#This Row],[quantity]]*Table3[[#This Row],[Product Price]]</f>
        <v>4500</v>
      </c>
      <c r="H10" t="str">
        <f>_xlfn.XLOOKUP(C10,Products!A:A,Products!C:C)</f>
        <v>Accessories</v>
      </c>
      <c r="I10" s="6">
        <f t="shared" si="0"/>
        <v>7</v>
      </c>
      <c r="J10" s="6" t="str">
        <f>_xlfn.XLOOKUP(C10,Products!A:A,Products!B:B)</f>
        <v>Wallet</v>
      </c>
    </row>
    <row r="11" spans="1:10">
      <c r="A11">
        <v>1010</v>
      </c>
      <c r="B11">
        <v>18</v>
      </c>
      <c r="C11">
        <v>108</v>
      </c>
      <c r="D11" s="5">
        <v>46008</v>
      </c>
      <c r="E11">
        <v>3</v>
      </c>
      <c r="F11">
        <f>_xlfn.XLOOKUP(C11,Products!A:A,Products!D:D)</f>
        <v>1800</v>
      </c>
      <c r="G11">
        <f>Table3[[#This Row],[quantity]]*Table3[[#This Row],[Product Price]]</f>
        <v>5400</v>
      </c>
      <c r="H11" t="str">
        <f>_xlfn.XLOOKUP(C11,Products!A:A,Products!C:C)</f>
        <v>Electronics</v>
      </c>
      <c r="I11" s="6">
        <f t="shared" si="0"/>
        <v>12</v>
      </c>
      <c r="J11" s="6" t="str">
        <f>_xlfn.XLOOKUP(C11,Products!A:A,Products!B:B)</f>
        <v>Power Bank</v>
      </c>
    </row>
    <row r="12" spans="1:10">
      <c r="A12">
        <v>1011</v>
      </c>
      <c r="B12">
        <v>2</v>
      </c>
      <c r="C12">
        <v>108</v>
      </c>
      <c r="D12" s="5">
        <v>45674</v>
      </c>
      <c r="E12">
        <v>3</v>
      </c>
      <c r="F12">
        <f>_xlfn.XLOOKUP(C12,Products!A:A,Products!D:D)</f>
        <v>1800</v>
      </c>
      <c r="G12">
        <f>Table3[[#This Row],[quantity]]*Table3[[#This Row],[Product Price]]</f>
        <v>5400</v>
      </c>
      <c r="H12" t="str">
        <f>_xlfn.XLOOKUP(C12,Products!A:A,Products!C:C)</f>
        <v>Electronics</v>
      </c>
      <c r="I12" s="6">
        <f t="shared" si="0"/>
        <v>1</v>
      </c>
      <c r="J12" s="6" t="str">
        <f>_xlfn.XLOOKUP(C12,Products!A:A,Products!B:B)</f>
        <v>Power Bank</v>
      </c>
    </row>
    <row r="13" spans="1:10">
      <c r="A13">
        <v>1012</v>
      </c>
      <c r="B13">
        <v>13</v>
      </c>
      <c r="C13">
        <v>109</v>
      </c>
      <c r="D13" s="5">
        <v>45691</v>
      </c>
      <c r="E13">
        <v>2</v>
      </c>
      <c r="F13">
        <f>_xlfn.XLOOKUP(C13,Products!A:A,Products!D:D)</f>
        <v>12000</v>
      </c>
      <c r="G13">
        <f>Table3[[#This Row],[quantity]]*Table3[[#This Row],[Product Price]]</f>
        <v>24000</v>
      </c>
      <c r="H13" t="str">
        <f>_xlfn.XLOOKUP(C13,Products!A:A,Products!C:C)</f>
        <v>Furniture</v>
      </c>
      <c r="I13" s="6">
        <f t="shared" si="0"/>
        <v>2</v>
      </c>
      <c r="J13" s="6" t="str">
        <f>_xlfn.XLOOKUP(C13,Products!A:A,Products!B:B)</f>
        <v>Office Chair</v>
      </c>
    </row>
    <row r="14" spans="1:10">
      <c r="A14">
        <v>1013</v>
      </c>
      <c r="B14">
        <v>19</v>
      </c>
      <c r="C14">
        <v>123</v>
      </c>
      <c r="D14" s="5">
        <v>45819</v>
      </c>
      <c r="E14">
        <v>2</v>
      </c>
      <c r="F14">
        <f>_xlfn.XLOOKUP(C14,Products!A:A,Products!D:D)</f>
        <v>5500</v>
      </c>
      <c r="G14">
        <f>Table3[[#This Row],[quantity]]*Table3[[#This Row],[Product Price]]</f>
        <v>11000</v>
      </c>
      <c r="H14" t="str">
        <f>_xlfn.XLOOKUP(C14,Products!A:A,Products!C:C)</f>
        <v>Home Appliances</v>
      </c>
      <c r="I14" s="6">
        <f t="shared" si="0"/>
        <v>6</v>
      </c>
      <c r="J14" s="6" t="str">
        <f>_xlfn.XLOOKUP(C14,Products!A:A,Products!B:B)</f>
        <v>Coffee Maker</v>
      </c>
    </row>
    <row r="15" spans="1:10">
      <c r="A15">
        <v>1014</v>
      </c>
      <c r="B15">
        <v>16</v>
      </c>
      <c r="C15">
        <v>113</v>
      </c>
      <c r="D15" s="5">
        <v>45987</v>
      </c>
      <c r="E15">
        <v>4</v>
      </c>
      <c r="F15">
        <f>_xlfn.XLOOKUP(C15,Products!A:A,Products!D:D)</f>
        <v>2200</v>
      </c>
      <c r="G15">
        <f>Table3[[#This Row],[quantity]]*Table3[[#This Row],[Product Price]]</f>
        <v>8800</v>
      </c>
      <c r="H15" t="str">
        <f>_xlfn.XLOOKUP(C15,Products!A:A,Products!C:C)</f>
        <v>Accessories</v>
      </c>
      <c r="I15" s="6">
        <f t="shared" si="0"/>
        <v>11</v>
      </c>
      <c r="J15" s="6" t="str">
        <f>_xlfn.XLOOKUP(C15,Products!A:A,Products!B:B)</f>
        <v>Backpack</v>
      </c>
    </row>
    <row r="16" spans="1:10">
      <c r="A16">
        <v>1015</v>
      </c>
      <c r="B16">
        <v>5</v>
      </c>
      <c r="C16">
        <v>109</v>
      </c>
      <c r="D16" s="5">
        <v>45729</v>
      </c>
      <c r="E16">
        <v>2</v>
      </c>
      <c r="F16">
        <f>_xlfn.XLOOKUP(C16,Products!A:A,Products!D:D)</f>
        <v>12000</v>
      </c>
      <c r="G16">
        <f>Table3[[#This Row],[quantity]]*Table3[[#This Row],[Product Price]]</f>
        <v>24000</v>
      </c>
      <c r="H16" t="str">
        <f>_xlfn.XLOOKUP(C16,Products!A:A,Products!C:C)</f>
        <v>Furniture</v>
      </c>
      <c r="I16" s="6">
        <f t="shared" si="0"/>
        <v>3</v>
      </c>
      <c r="J16" s="6" t="str">
        <f>_xlfn.XLOOKUP(C16,Products!A:A,Products!B:B)</f>
        <v>Office Chair</v>
      </c>
    </row>
    <row r="17" spans="1:10">
      <c r="A17">
        <v>1016</v>
      </c>
      <c r="B17">
        <v>18</v>
      </c>
      <c r="C17">
        <v>118</v>
      </c>
      <c r="D17" s="5">
        <v>45792</v>
      </c>
      <c r="E17">
        <v>4</v>
      </c>
      <c r="F17">
        <f>_xlfn.XLOOKUP(C17,Products!A:A,Products!D:D)</f>
        <v>2500</v>
      </c>
      <c r="G17">
        <f>Table3[[#This Row],[quantity]]*Table3[[#This Row],[Product Price]]</f>
        <v>10000</v>
      </c>
      <c r="H17" t="str">
        <f>_xlfn.XLOOKUP(C17,Products!A:A,Products!C:C)</f>
        <v>Sports</v>
      </c>
      <c r="I17" s="6">
        <f t="shared" si="0"/>
        <v>5</v>
      </c>
      <c r="J17" s="6" t="str">
        <f>_xlfn.XLOOKUP(C17,Products!A:A,Products!B:B)</f>
        <v>Dumbbells</v>
      </c>
    </row>
    <row r="18" spans="1:10">
      <c r="A18">
        <v>1017</v>
      </c>
      <c r="B18">
        <v>19</v>
      </c>
      <c r="C18">
        <v>113</v>
      </c>
      <c r="D18" s="5">
        <v>45843</v>
      </c>
      <c r="E18">
        <v>2</v>
      </c>
      <c r="F18">
        <f>_xlfn.XLOOKUP(C18,Products!A:A,Products!D:D)</f>
        <v>2200</v>
      </c>
      <c r="G18">
        <f>Table3[[#This Row],[quantity]]*Table3[[#This Row],[Product Price]]</f>
        <v>4400</v>
      </c>
      <c r="H18" t="str">
        <f>_xlfn.XLOOKUP(C18,Products!A:A,Products!C:C)</f>
        <v>Accessories</v>
      </c>
      <c r="I18" s="6">
        <f t="shared" si="0"/>
        <v>7</v>
      </c>
      <c r="J18" s="6" t="str">
        <f>_xlfn.XLOOKUP(C18,Products!A:A,Products!B:B)</f>
        <v>Backpack</v>
      </c>
    </row>
    <row r="19" spans="1:10">
      <c r="A19">
        <v>1018</v>
      </c>
      <c r="B19">
        <v>5</v>
      </c>
      <c r="C19">
        <v>117</v>
      </c>
      <c r="D19" s="5">
        <v>45910</v>
      </c>
      <c r="E19">
        <v>1</v>
      </c>
      <c r="F19">
        <f>_xlfn.XLOOKUP(C19,Products!A:A,Products!D:D)</f>
        <v>1200</v>
      </c>
      <c r="G19">
        <f>Table3[[#This Row],[quantity]]*Table3[[#This Row],[Product Price]]</f>
        <v>1200</v>
      </c>
      <c r="H19" t="str">
        <f>_xlfn.XLOOKUP(C19,Products!A:A,Products!C:C)</f>
        <v>Sports</v>
      </c>
      <c r="I19" s="6">
        <f t="shared" si="0"/>
        <v>9</v>
      </c>
      <c r="J19" s="6" t="str">
        <f>_xlfn.XLOOKUP(C19,Products!A:A,Products!B:B)</f>
        <v>Yoga Mat</v>
      </c>
    </row>
    <row r="20" spans="1:10">
      <c r="A20">
        <v>1019</v>
      </c>
      <c r="B20">
        <v>2</v>
      </c>
      <c r="C20">
        <v>104</v>
      </c>
      <c r="D20" s="5">
        <v>45736</v>
      </c>
      <c r="E20">
        <v>2</v>
      </c>
      <c r="F20">
        <f>_xlfn.XLOOKUP(C20,Products!A:A,Products!D:D)</f>
        <v>2200</v>
      </c>
      <c r="G20">
        <f>Table3[[#This Row],[quantity]]*Table3[[#This Row],[Product Price]]</f>
        <v>4400</v>
      </c>
      <c r="H20" t="str">
        <f>_xlfn.XLOOKUP(C20,Products!A:A,Products!C:C)</f>
        <v>Electronics</v>
      </c>
      <c r="I20" s="6">
        <f t="shared" si="0"/>
        <v>3</v>
      </c>
      <c r="J20" s="6" t="str">
        <f>_xlfn.XLOOKUP(C20,Products!A:A,Products!B:B)</f>
        <v>USB-C Hub</v>
      </c>
    </row>
    <row r="21" spans="1:10">
      <c r="A21">
        <v>1020</v>
      </c>
      <c r="B21">
        <v>14</v>
      </c>
      <c r="C21">
        <v>120</v>
      </c>
      <c r="D21" s="5">
        <v>45690</v>
      </c>
      <c r="E21">
        <v>4</v>
      </c>
      <c r="F21">
        <f>_xlfn.XLOOKUP(C21,Products!A:A,Products!D:D)</f>
        <v>2200</v>
      </c>
      <c r="G21">
        <f>Table3[[#This Row],[quantity]]*Table3[[#This Row],[Product Price]]</f>
        <v>8800</v>
      </c>
      <c r="H21" t="str">
        <f>_xlfn.XLOOKUP(C21,Products!A:A,Products!C:C)</f>
        <v>Clothing</v>
      </c>
      <c r="I21" s="6">
        <f t="shared" si="0"/>
        <v>2</v>
      </c>
      <c r="J21" s="6" t="str">
        <f>_xlfn.XLOOKUP(C21,Products!A:A,Products!B:B)</f>
        <v>Jeans</v>
      </c>
    </row>
    <row r="22" spans="1:10">
      <c r="A22">
        <v>1021</v>
      </c>
      <c r="B22">
        <v>13</v>
      </c>
      <c r="C22">
        <v>120</v>
      </c>
      <c r="D22" s="5">
        <v>45897</v>
      </c>
      <c r="E22">
        <v>3</v>
      </c>
      <c r="F22">
        <f>_xlfn.XLOOKUP(C22,Products!A:A,Products!D:D)</f>
        <v>2200</v>
      </c>
      <c r="G22">
        <f>Table3[[#This Row],[quantity]]*Table3[[#This Row],[Product Price]]</f>
        <v>6600</v>
      </c>
      <c r="H22" t="str">
        <f>_xlfn.XLOOKUP(C22,Products!A:A,Products!C:C)</f>
        <v>Clothing</v>
      </c>
      <c r="I22" s="6">
        <f t="shared" si="0"/>
        <v>8</v>
      </c>
      <c r="J22" s="6" t="str">
        <f>_xlfn.XLOOKUP(C22,Products!A:A,Products!B:B)</f>
        <v>Jeans</v>
      </c>
    </row>
    <row r="23" spans="1:10">
      <c r="A23">
        <v>1022</v>
      </c>
      <c r="B23">
        <v>18</v>
      </c>
      <c r="C23">
        <v>101</v>
      </c>
      <c r="D23" s="5">
        <v>46006</v>
      </c>
      <c r="E23">
        <v>1</v>
      </c>
      <c r="F23">
        <f>_xlfn.XLOOKUP(C23,Products!A:A,Products!D:D)</f>
        <v>65000</v>
      </c>
      <c r="G23">
        <f>Table3[[#This Row],[quantity]]*Table3[[#This Row],[Product Price]]</f>
        <v>65000</v>
      </c>
      <c r="H23" t="str">
        <f>_xlfn.XLOOKUP(C23,Products!A:A,Products!C:C)</f>
        <v>Electronics</v>
      </c>
      <c r="I23" s="6">
        <f t="shared" si="0"/>
        <v>12</v>
      </c>
      <c r="J23" s="6" t="str">
        <f>_xlfn.XLOOKUP(C23,Products!A:A,Products!B:B)</f>
        <v>Laptop Pro 14</v>
      </c>
    </row>
    <row r="24" spans="1:10">
      <c r="A24">
        <v>1023</v>
      </c>
      <c r="B24">
        <v>18</v>
      </c>
      <c r="C24">
        <v>125</v>
      </c>
      <c r="D24" s="5">
        <v>45794</v>
      </c>
      <c r="E24">
        <v>3</v>
      </c>
      <c r="F24">
        <f>_xlfn.XLOOKUP(C24,Products!A:A,Products!D:D)</f>
        <v>1800</v>
      </c>
      <c r="G24">
        <f>Table3[[#This Row],[quantity]]*Table3[[#This Row],[Product Price]]</f>
        <v>5400</v>
      </c>
      <c r="H24" t="str">
        <f>_xlfn.XLOOKUP(C24,Products!A:A,Products!C:C)</f>
        <v>Home Appliances</v>
      </c>
      <c r="I24" s="6">
        <f t="shared" si="0"/>
        <v>5</v>
      </c>
      <c r="J24" s="6" t="str">
        <f>_xlfn.XLOOKUP(C24,Products!A:A,Products!B:B)</f>
        <v>Electric Kettle</v>
      </c>
    </row>
    <row r="25" spans="1:10">
      <c r="A25">
        <v>1024</v>
      </c>
      <c r="B25">
        <v>4</v>
      </c>
      <c r="C25">
        <v>110</v>
      </c>
      <c r="D25" s="5">
        <v>45880</v>
      </c>
      <c r="E25">
        <v>2</v>
      </c>
      <c r="F25">
        <f>_xlfn.XLOOKUP(C25,Products!A:A,Products!D:D)</f>
        <v>9500</v>
      </c>
      <c r="G25">
        <f>Table3[[#This Row],[quantity]]*Table3[[#This Row],[Product Price]]</f>
        <v>19000</v>
      </c>
      <c r="H25" t="str">
        <f>_xlfn.XLOOKUP(C25,Products!A:A,Products!C:C)</f>
        <v>Furniture</v>
      </c>
      <c r="I25" s="6">
        <f t="shared" si="0"/>
        <v>8</v>
      </c>
      <c r="J25" s="6" t="str">
        <f>_xlfn.XLOOKUP(C25,Products!A:A,Products!B:B)</f>
        <v>Study Desk</v>
      </c>
    </row>
    <row r="26" spans="1:10">
      <c r="A26">
        <v>1025</v>
      </c>
      <c r="B26">
        <v>15</v>
      </c>
      <c r="C26">
        <v>101</v>
      </c>
      <c r="D26" s="5">
        <v>45792</v>
      </c>
      <c r="E26">
        <v>2</v>
      </c>
      <c r="F26">
        <f>_xlfn.XLOOKUP(C26,Products!A:A,Products!D:D)</f>
        <v>65000</v>
      </c>
      <c r="G26">
        <f>Table3[[#This Row],[quantity]]*Table3[[#This Row],[Product Price]]</f>
        <v>130000</v>
      </c>
      <c r="H26" t="str">
        <f>_xlfn.XLOOKUP(C26,Products!A:A,Products!C:C)</f>
        <v>Electronics</v>
      </c>
      <c r="I26" s="6">
        <f t="shared" si="0"/>
        <v>5</v>
      </c>
      <c r="J26" s="6" t="str">
        <f>_xlfn.XLOOKUP(C26,Products!A:A,Products!B:B)</f>
        <v>Laptop Pro 14</v>
      </c>
    </row>
    <row r="27" spans="1:10">
      <c r="A27">
        <v>1026</v>
      </c>
      <c r="B27">
        <v>17</v>
      </c>
      <c r="C27">
        <v>104</v>
      </c>
      <c r="D27" s="5">
        <v>45978</v>
      </c>
      <c r="E27">
        <v>3</v>
      </c>
      <c r="F27">
        <f>_xlfn.XLOOKUP(C27,Products!A:A,Products!D:D)</f>
        <v>2200</v>
      </c>
      <c r="G27">
        <f>Table3[[#This Row],[quantity]]*Table3[[#This Row],[Product Price]]</f>
        <v>6600</v>
      </c>
      <c r="H27" t="str">
        <f>_xlfn.XLOOKUP(C27,Products!A:A,Products!C:C)</f>
        <v>Electronics</v>
      </c>
      <c r="I27" s="6">
        <f t="shared" si="0"/>
        <v>11</v>
      </c>
      <c r="J27" s="6" t="str">
        <f>_xlfn.XLOOKUP(C27,Products!A:A,Products!B:B)</f>
        <v>USB-C Hub</v>
      </c>
    </row>
    <row r="28" spans="1:10">
      <c r="A28">
        <v>1027</v>
      </c>
      <c r="B28">
        <v>17</v>
      </c>
      <c r="C28">
        <v>120</v>
      </c>
      <c r="D28" s="5">
        <v>45759</v>
      </c>
      <c r="E28">
        <v>2</v>
      </c>
      <c r="F28">
        <f>_xlfn.XLOOKUP(C28,Products!A:A,Products!D:D)</f>
        <v>2200</v>
      </c>
      <c r="G28">
        <f>Table3[[#This Row],[quantity]]*Table3[[#This Row],[Product Price]]</f>
        <v>4400</v>
      </c>
      <c r="H28" t="str">
        <f>_xlfn.XLOOKUP(C28,Products!A:A,Products!C:C)</f>
        <v>Clothing</v>
      </c>
      <c r="I28" s="6">
        <f t="shared" si="0"/>
        <v>4</v>
      </c>
      <c r="J28" s="6" t="str">
        <f>_xlfn.XLOOKUP(C28,Products!A:A,Products!B:B)</f>
        <v>Jeans</v>
      </c>
    </row>
    <row r="29" spans="1:10">
      <c r="A29">
        <v>1028</v>
      </c>
      <c r="B29">
        <v>12</v>
      </c>
      <c r="C29">
        <v>125</v>
      </c>
      <c r="D29" s="5">
        <v>45740</v>
      </c>
      <c r="E29">
        <v>1</v>
      </c>
      <c r="F29">
        <f>_xlfn.XLOOKUP(C29,Products!A:A,Products!D:D)</f>
        <v>1800</v>
      </c>
      <c r="G29">
        <f>Table3[[#This Row],[quantity]]*Table3[[#This Row],[Product Price]]</f>
        <v>1800</v>
      </c>
      <c r="H29" t="str">
        <f>_xlfn.XLOOKUP(C29,Products!A:A,Products!C:C)</f>
        <v>Home Appliances</v>
      </c>
      <c r="I29" s="6">
        <f t="shared" si="0"/>
        <v>3</v>
      </c>
      <c r="J29" s="6" t="str">
        <f>_xlfn.XLOOKUP(C29,Products!A:A,Products!B:B)</f>
        <v>Electric Kettle</v>
      </c>
    </row>
    <row r="30" spans="1:10">
      <c r="A30">
        <v>1029</v>
      </c>
      <c r="B30">
        <v>20</v>
      </c>
      <c r="C30">
        <v>111</v>
      </c>
      <c r="D30" s="5">
        <v>45908</v>
      </c>
      <c r="E30">
        <v>1</v>
      </c>
      <c r="F30">
        <f>_xlfn.XLOOKUP(C30,Products!A:A,Products!D:D)</f>
        <v>7000</v>
      </c>
      <c r="G30">
        <f>Table3[[#This Row],[quantity]]*Table3[[#This Row],[Product Price]]</f>
        <v>7000</v>
      </c>
      <c r="H30" t="str">
        <f>_xlfn.XLOOKUP(C30,Products!A:A,Products!C:C)</f>
        <v>Furniture</v>
      </c>
      <c r="I30" s="6">
        <f t="shared" si="0"/>
        <v>9</v>
      </c>
      <c r="J30" s="6" t="str">
        <f>_xlfn.XLOOKUP(C30,Products!A:A,Products!B:B)</f>
        <v>Bookshelf</v>
      </c>
    </row>
    <row r="31" spans="1:10">
      <c r="A31">
        <v>1030</v>
      </c>
      <c r="B31">
        <v>4</v>
      </c>
      <c r="C31">
        <v>112</v>
      </c>
      <c r="D31" s="5">
        <v>45815</v>
      </c>
      <c r="E31">
        <v>2</v>
      </c>
      <c r="F31">
        <f>_xlfn.XLOOKUP(C31,Products!A:A,Products!D:D)</f>
        <v>1800</v>
      </c>
      <c r="G31">
        <f>Table3[[#This Row],[quantity]]*Table3[[#This Row],[Product Price]]</f>
        <v>3600</v>
      </c>
      <c r="H31" t="str">
        <f>_xlfn.XLOOKUP(C31,Products!A:A,Products!C:C)</f>
        <v>Furniture</v>
      </c>
      <c r="I31" s="6">
        <f t="shared" si="0"/>
        <v>6</v>
      </c>
      <c r="J31" s="6" t="str">
        <f>_xlfn.XLOOKUP(C31,Products!A:A,Products!B:B)</f>
        <v>Table Lamp</v>
      </c>
    </row>
    <row r="32" spans="1:10">
      <c r="A32">
        <v>1031</v>
      </c>
      <c r="B32">
        <v>2</v>
      </c>
      <c r="C32">
        <v>108</v>
      </c>
      <c r="D32" s="5">
        <v>45948</v>
      </c>
      <c r="E32">
        <v>1</v>
      </c>
      <c r="F32">
        <f>_xlfn.XLOOKUP(C32,Products!A:A,Products!D:D)</f>
        <v>1800</v>
      </c>
      <c r="G32">
        <f>Table3[[#This Row],[quantity]]*Table3[[#This Row],[Product Price]]</f>
        <v>1800</v>
      </c>
      <c r="H32" t="str">
        <f>_xlfn.XLOOKUP(C32,Products!A:A,Products!C:C)</f>
        <v>Electronics</v>
      </c>
      <c r="I32" s="6">
        <f t="shared" si="0"/>
        <v>10</v>
      </c>
      <c r="J32" s="6" t="str">
        <f>_xlfn.XLOOKUP(C32,Products!A:A,Products!B:B)</f>
        <v>Power Bank</v>
      </c>
    </row>
    <row r="33" spans="1:10">
      <c r="A33">
        <v>1032</v>
      </c>
      <c r="B33">
        <v>3</v>
      </c>
      <c r="C33">
        <v>124</v>
      </c>
      <c r="D33" s="5">
        <v>45906</v>
      </c>
      <c r="E33">
        <v>1</v>
      </c>
      <c r="F33">
        <f>_xlfn.XLOOKUP(C33,Products!A:A,Products!D:D)</f>
        <v>6200</v>
      </c>
      <c r="G33">
        <f>Table3[[#This Row],[quantity]]*Table3[[#This Row],[Product Price]]</f>
        <v>6200</v>
      </c>
      <c r="H33" t="str">
        <f>_xlfn.XLOOKUP(C33,Products!A:A,Products!C:C)</f>
        <v>Home Appliances</v>
      </c>
      <c r="I33" s="6">
        <f t="shared" si="0"/>
        <v>9</v>
      </c>
      <c r="J33" s="6" t="str">
        <f>_xlfn.XLOOKUP(C33,Products!A:A,Products!B:B)</f>
        <v>Air Fryer</v>
      </c>
    </row>
    <row r="34" spans="1:10">
      <c r="A34">
        <v>1033</v>
      </c>
      <c r="B34">
        <v>18</v>
      </c>
      <c r="C34">
        <v>125</v>
      </c>
      <c r="D34" s="5">
        <v>45722</v>
      </c>
      <c r="E34">
        <v>2</v>
      </c>
      <c r="F34">
        <f>_xlfn.XLOOKUP(C34,Products!A:A,Products!D:D)</f>
        <v>1800</v>
      </c>
      <c r="G34">
        <f>Table3[[#This Row],[quantity]]*Table3[[#This Row],[Product Price]]</f>
        <v>3600</v>
      </c>
      <c r="H34" t="str">
        <f>_xlfn.XLOOKUP(C34,Products!A:A,Products!C:C)</f>
        <v>Home Appliances</v>
      </c>
      <c r="I34" s="6">
        <f t="shared" ref="I34:I65" si="1">MONTH(D34)</f>
        <v>3</v>
      </c>
      <c r="J34" s="6" t="str">
        <f>_xlfn.XLOOKUP(C34,Products!A:A,Products!B:B)</f>
        <v>Electric Kettle</v>
      </c>
    </row>
    <row r="35" spans="1:10">
      <c r="A35">
        <v>1034</v>
      </c>
      <c r="B35">
        <v>16</v>
      </c>
      <c r="C35">
        <v>118</v>
      </c>
      <c r="D35" s="5">
        <v>45742</v>
      </c>
      <c r="E35">
        <v>3</v>
      </c>
      <c r="F35">
        <f>_xlfn.XLOOKUP(C35,Products!A:A,Products!D:D)</f>
        <v>2500</v>
      </c>
      <c r="G35">
        <f>Table3[[#This Row],[quantity]]*Table3[[#This Row],[Product Price]]</f>
        <v>7500</v>
      </c>
      <c r="H35" t="str">
        <f>_xlfn.XLOOKUP(C35,Products!A:A,Products!C:C)</f>
        <v>Sports</v>
      </c>
      <c r="I35" s="6">
        <f t="shared" si="1"/>
        <v>3</v>
      </c>
      <c r="J35" s="6" t="str">
        <f>_xlfn.XLOOKUP(C35,Products!A:A,Products!B:B)</f>
        <v>Dumbbells</v>
      </c>
    </row>
    <row r="36" spans="1:10">
      <c r="A36">
        <v>1035</v>
      </c>
      <c r="B36">
        <v>17</v>
      </c>
      <c r="C36">
        <v>120</v>
      </c>
      <c r="D36" s="5">
        <v>45874</v>
      </c>
      <c r="E36">
        <v>2</v>
      </c>
      <c r="F36">
        <f>_xlfn.XLOOKUP(C36,Products!A:A,Products!D:D)</f>
        <v>2200</v>
      </c>
      <c r="G36">
        <f>Table3[[#This Row],[quantity]]*Table3[[#This Row],[Product Price]]</f>
        <v>4400</v>
      </c>
      <c r="H36" t="str">
        <f>_xlfn.XLOOKUP(C36,Products!A:A,Products!C:C)</f>
        <v>Clothing</v>
      </c>
      <c r="I36" s="6">
        <f t="shared" si="1"/>
        <v>8</v>
      </c>
      <c r="J36" s="6" t="str">
        <f>_xlfn.XLOOKUP(C36,Products!A:A,Products!B:B)</f>
        <v>Jeans</v>
      </c>
    </row>
    <row r="37" spans="1:10">
      <c r="A37">
        <v>1036</v>
      </c>
      <c r="B37">
        <v>18</v>
      </c>
      <c r="C37">
        <v>125</v>
      </c>
      <c r="D37" s="5">
        <v>46011</v>
      </c>
      <c r="E37">
        <v>2</v>
      </c>
      <c r="F37">
        <f>_xlfn.XLOOKUP(C37,Products!A:A,Products!D:D)</f>
        <v>1800</v>
      </c>
      <c r="G37">
        <f>Table3[[#This Row],[quantity]]*Table3[[#This Row],[Product Price]]</f>
        <v>3600</v>
      </c>
      <c r="H37" t="str">
        <f>_xlfn.XLOOKUP(C37,Products!A:A,Products!C:C)</f>
        <v>Home Appliances</v>
      </c>
      <c r="I37" s="6">
        <f t="shared" si="1"/>
        <v>12</v>
      </c>
      <c r="J37" s="6" t="str">
        <f>_xlfn.XLOOKUP(C37,Products!A:A,Products!B:B)</f>
        <v>Electric Kettle</v>
      </c>
    </row>
    <row r="38" spans="1:10">
      <c r="A38">
        <v>1037</v>
      </c>
      <c r="B38">
        <v>10</v>
      </c>
      <c r="C38">
        <v>113</v>
      </c>
      <c r="D38" s="5">
        <v>46001</v>
      </c>
      <c r="E38">
        <v>3</v>
      </c>
      <c r="F38">
        <f>_xlfn.XLOOKUP(C38,Products!A:A,Products!D:D)</f>
        <v>2200</v>
      </c>
      <c r="G38">
        <f>Table3[[#This Row],[quantity]]*Table3[[#This Row],[Product Price]]</f>
        <v>6600</v>
      </c>
      <c r="H38" t="str">
        <f>_xlfn.XLOOKUP(C38,Products!A:A,Products!C:C)</f>
        <v>Accessories</v>
      </c>
      <c r="I38" s="6">
        <f t="shared" si="1"/>
        <v>12</v>
      </c>
      <c r="J38" s="6" t="str">
        <f>_xlfn.XLOOKUP(C38,Products!A:A,Products!B:B)</f>
        <v>Backpack</v>
      </c>
    </row>
    <row r="39" spans="1:10">
      <c r="A39">
        <v>1038</v>
      </c>
      <c r="B39">
        <v>15</v>
      </c>
      <c r="C39">
        <v>117</v>
      </c>
      <c r="D39" s="5">
        <v>45889</v>
      </c>
      <c r="E39">
        <v>1</v>
      </c>
      <c r="F39">
        <f>_xlfn.XLOOKUP(C39,Products!A:A,Products!D:D)</f>
        <v>1200</v>
      </c>
      <c r="G39">
        <f>Table3[[#This Row],[quantity]]*Table3[[#This Row],[Product Price]]</f>
        <v>1200</v>
      </c>
      <c r="H39" t="str">
        <f>_xlfn.XLOOKUP(C39,Products!A:A,Products!C:C)</f>
        <v>Sports</v>
      </c>
      <c r="I39" s="6">
        <f t="shared" si="1"/>
        <v>8</v>
      </c>
      <c r="J39" s="6" t="str">
        <f>_xlfn.XLOOKUP(C39,Products!A:A,Products!B:B)</f>
        <v>Yoga Mat</v>
      </c>
    </row>
    <row r="40" spans="1:10">
      <c r="A40">
        <v>1039</v>
      </c>
      <c r="B40">
        <v>8</v>
      </c>
      <c r="C40">
        <v>108</v>
      </c>
      <c r="D40" s="5">
        <v>45690</v>
      </c>
      <c r="E40">
        <v>3</v>
      </c>
      <c r="F40">
        <f>_xlfn.XLOOKUP(C40,Products!A:A,Products!D:D)</f>
        <v>1800</v>
      </c>
      <c r="G40">
        <f>Table3[[#This Row],[quantity]]*Table3[[#This Row],[Product Price]]</f>
        <v>5400</v>
      </c>
      <c r="H40" t="str">
        <f>_xlfn.XLOOKUP(C40,Products!A:A,Products!C:C)</f>
        <v>Electronics</v>
      </c>
      <c r="I40" s="6">
        <f t="shared" si="1"/>
        <v>2</v>
      </c>
      <c r="J40" s="6" t="str">
        <f>_xlfn.XLOOKUP(C40,Products!A:A,Products!B:B)</f>
        <v>Power Bank</v>
      </c>
    </row>
    <row r="41" spans="1:10">
      <c r="A41">
        <v>1040</v>
      </c>
      <c r="B41">
        <v>1</v>
      </c>
      <c r="C41">
        <v>119</v>
      </c>
      <c r="D41" s="5">
        <v>45941</v>
      </c>
      <c r="E41">
        <v>2</v>
      </c>
      <c r="F41">
        <f>_xlfn.XLOOKUP(C41,Products!A:A,Products!D:D)</f>
        <v>900</v>
      </c>
      <c r="G41">
        <f>Table3[[#This Row],[quantity]]*Table3[[#This Row],[Product Price]]</f>
        <v>1800</v>
      </c>
      <c r="H41" t="str">
        <f>_xlfn.XLOOKUP(C41,Products!A:A,Products!C:C)</f>
        <v>Clothing</v>
      </c>
      <c r="I41" s="6">
        <f t="shared" si="1"/>
        <v>10</v>
      </c>
      <c r="J41" s="6" t="str">
        <f>_xlfn.XLOOKUP(C41,Products!A:A,Products!B:B)</f>
        <v>T-Shirt</v>
      </c>
    </row>
    <row r="42" spans="1:10">
      <c r="A42">
        <v>1041</v>
      </c>
      <c r="B42">
        <v>19</v>
      </c>
      <c r="C42">
        <v>108</v>
      </c>
      <c r="D42" s="5">
        <v>45661</v>
      </c>
      <c r="E42">
        <v>1</v>
      </c>
      <c r="F42">
        <f>_xlfn.XLOOKUP(C42,Products!A:A,Products!D:D)</f>
        <v>1800</v>
      </c>
      <c r="G42">
        <f>Table3[[#This Row],[quantity]]*Table3[[#This Row],[Product Price]]</f>
        <v>1800</v>
      </c>
      <c r="H42" t="str">
        <f>_xlfn.XLOOKUP(C42,Products!A:A,Products!C:C)</f>
        <v>Electronics</v>
      </c>
      <c r="I42" s="6">
        <f t="shared" si="1"/>
        <v>1</v>
      </c>
      <c r="J42" s="6" t="str">
        <f>_xlfn.XLOOKUP(C42,Products!A:A,Products!B:B)</f>
        <v>Power Bank</v>
      </c>
    </row>
    <row r="43" spans="1:10">
      <c r="A43">
        <v>1042</v>
      </c>
      <c r="B43">
        <v>2</v>
      </c>
      <c r="C43">
        <v>108</v>
      </c>
      <c r="D43" s="5">
        <v>45692</v>
      </c>
      <c r="E43">
        <v>1</v>
      </c>
      <c r="F43">
        <f>_xlfn.XLOOKUP(C43,Products!A:A,Products!D:D)</f>
        <v>1800</v>
      </c>
      <c r="G43">
        <f>Table3[[#This Row],[quantity]]*Table3[[#This Row],[Product Price]]</f>
        <v>1800</v>
      </c>
      <c r="H43" t="str">
        <f>_xlfn.XLOOKUP(C43,Products!A:A,Products!C:C)</f>
        <v>Electronics</v>
      </c>
      <c r="I43" s="6">
        <f t="shared" si="1"/>
        <v>2</v>
      </c>
      <c r="J43" s="6" t="str">
        <f>_xlfn.XLOOKUP(C43,Products!A:A,Products!B:B)</f>
        <v>Power Bank</v>
      </c>
    </row>
    <row r="44" spans="1:10">
      <c r="A44">
        <v>1043</v>
      </c>
      <c r="B44">
        <v>11</v>
      </c>
      <c r="C44">
        <v>103</v>
      </c>
      <c r="D44" s="5">
        <v>45921</v>
      </c>
      <c r="E44">
        <v>2</v>
      </c>
      <c r="F44">
        <f>_xlfn.XLOOKUP(C44,Products!A:A,Products!D:D)</f>
        <v>3500</v>
      </c>
      <c r="G44">
        <f>Table3[[#This Row],[quantity]]*Table3[[#This Row],[Product Price]]</f>
        <v>7000</v>
      </c>
      <c r="H44" t="str">
        <f>_xlfn.XLOOKUP(C44,Products!A:A,Products!C:C)</f>
        <v>Electronics</v>
      </c>
      <c r="I44" s="6">
        <f t="shared" si="1"/>
        <v>9</v>
      </c>
      <c r="J44" s="6" t="str">
        <f>_xlfn.XLOOKUP(C44,Products!A:A,Products!B:B)</f>
        <v>Mechanical Keyboard</v>
      </c>
    </row>
    <row r="45" spans="1:10">
      <c r="A45">
        <v>1044</v>
      </c>
      <c r="B45">
        <v>9</v>
      </c>
      <c r="C45">
        <v>122</v>
      </c>
      <c r="D45" s="5">
        <v>45906</v>
      </c>
      <c r="E45">
        <v>2</v>
      </c>
      <c r="F45">
        <f>_xlfn.XLOOKUP(C45,Products!A:A,Products!D:D)</f>
        <v>3500</v>
      </c>
      <c r="G45">
        <f>Table3[[#This Row],[quantity]]*Table3[[#This Row],[Product Price]]</f>
        <v>7000</v>
      </c>
      <c r="H45" t="str">
        <f>_xlfn.XLOOKUP(C45,Products!A:A,Products!C:C)</f>
        <v>Clothing</v>
      </c>
      <c r="I45" s="6">
        <f t="shared" si="1"/>
        <v>9</v>
      </c>
      <c r="J45" s="6" t="str">
        <f>_xlfn.XLOOKUP(C45,Products!A:A,Products!B:B)</f>
        <v>Jacket</v>
      </c>
    </row>
    <row r="46" spans="1:10">
      <c r="A46">
        <v>1045</v>
      </c>
      <c r="B46">
        <v>18</v>
      </c>
      <c r="C46">
        <v>105</v>
      </c>
      <c r="D46" s="5">
        <v>45950</v>
      </c>
      <c r="E46">
        <v>4</v>
      </c>
      <c r="F46">
        <f>_xlfn.XLOOKUP(C46,Products!A:A,Products!D:D)</f>
        <v>4500</v>
      </c>
      <c r="G46">
        <f>Table3[[#This Row],[quantity]]*Table3[[#This Row],[Product Price]]</f>
        <v>18000</v>
      </c>
      <c r="H46" t="str">
        <f>_xlfn.XLOOKUP(C46,Products!A:A,Products!C:C)</f>
        <v>Electronics</v>
      </c>
      <c r="I46" s="6">
        <f t="shared" si="1"/>
        <v>10</v>
      </c>
      <c r="J46" s="6" t="str">
        <f>_xlfn.XLOOKUP(C46,Products!A:A,Products!B:B)</f>
        <v>Bluetooth Headphones</v>
      </c>
    </row>
    <row r="47" spans="1:10">
      <c r="A47">
        <v>1046</v>
      </c>
      <c r="B47">
        <v>8</v>
      </c>
      <c r="C47">
        <v>116</v>
      </c>
      <c r="D47" s="5">
        <v>45866</v>
      </c>
      <c r="E47">
        <v>2</v>
      </c>
      <c r="F47">
        <f>_xlfn.XLOOKUP(C47,Products!A:A,Products!D:D)</f>
        <v>4800</v>
      </c>
      <c r="G47">
        <f>Table3[[#This Row],[quantity]]*Table3[[#This Row],[Product Price]]</f>
        <v>9600</v>
      </c>
      <c r="H47" t="str">
        <f>_xlfn.XLOOKUP(C47,Products!A:A,Products!C:C)</f>
        <v>Sports</v>
      </c>
      <c r="I47" s="6">
        <f t="shared" si="1"/>
        <v>7</v>
      </c>
      <c r="J47" s="6" t="str">
        <f>_xlfn.XLOOKUP(C47,Products!A:A,Products!B:B)</f>
        <v>Running Shoes</v>
      </c>
    </row>
    <row r="48" spans="1:10">
      <c r="A48">
        <v>1047</v>
      </c>
      <c r="B48">
        <v>4</v>
      </c>
      <c r="C48">
        <v>104</v>
      </c>
      <c r="D48" s="5">
        <v>45995</v>
      </c>
      <c r="E48">
        <v>4</v>
      </c>
      <c r="F48">
        <f>_xlfn.XLOOKUP(C48,Products!A:A,Products!D:D)</f>
        <v>2200</v>
      </c>
      <c r="G48">
        <f>Table3[[#This Row],[quantity]]*Table3[[#This Row],[Product Price]]</f>
        <v>8800</v>
      </c>
      <c r="H48" t="str">
        <f>_xlfn.XLOOKUP(C48,Products!A:A,Products!C:C)</f>
        <v>Electronics</v>
      </c>
      <c r="I48" s="6">
        <f t="shared" si="1"/>
        <v>12</v>
      </c>
      <c r="J48" s="6" t="str">
        <f>_xlfn.XLOOKUP(C48,Products!A:A,Products!B:B)</f>
        <v>USB-C Hub</v>
      </c>
    </row>
    <row r="49" spans="1:10">
      <c r="A49">
        <v>1048</v>
      </c>
      <c r="B49">
        <v>12</v>
      </c>
      <c r="C49">
        <v>114</v>
      </c>
      <c r="D49" s="5">
        <v>45868</v>
      </c>
      <c r="E49">
        <v>4</v>
      </c>
      <c r="F49">
        <f>_xlfn.XLOOKUP(C49,Products!A:A,Products!D:D)</f>
        <v>3200</v>
      </c>
      <c r="G49">
        <f>Table3[[#This Row],[quantity]]*Table3[[#This Row],[Product Price]]</f>
        <v>12800</v>
      </c>
      <c r="H49" t="str">
        <f>_xlfn.XLOOKUP(C49,Products!A:A,Products!C:C)</f>
        <v>Accessories</v>
      </c>
      <c r="I49" s="6">
        <f t="shared" si="1"/>
        <v>7</v>
      </c>
      <c r="J49" s="6" t="str">
        <f>_xlfn.XLOOKUP(C49,Products!A:A,Products!B:B)</f>
        <v>Travel Bag</v>
      </c>
    </row>
    <row r="50" spans="1:10">
      <c r="A50">
        <v>1049</v>
      </c>
      <c r="B50">
        <v>2</v>
      </c>
      <c r="C50">
        <v>122</v>
      </c>
      <c r="D50" s="5">
        <v>45992</v>
      </c>
      <c r="E50">
        <v>1</v>
      </c>
      <c r="F50">
        <f>_xlfn.XLOOKUP(C50,Products!A:A,Products!D:D)</f>
        <v>3500</v>
      </c>
      <c r="G50">
        <f>Table3[[#This Row],[quantity]]*Table3[[#This Row],[Product Price]]</f>
        <v>3500</v>
      </c>
      <c r="H50" t="str">
        <f>_xlfn.XLOOKUP(C50,Products!A:A,Products!C:C)</f>
        <v>Clothing</v>
      </c>
      <c r="I50" s="6">
        <f t="shared" si="1"/>
        <v>12</v>
      </c>
      <c r="J50" s="6" t="str">
        <f>_xlfn.XLOOKUP(C50,Products!A:A,Products!B:B)</f>
        <v>Jacket</v>
      </c>
    </row>
    <row r="51" spans="1:10">
      <c r="A51">
        <v>1050</v>
      </c>
      <c r="B51">
        <v>2</v>
      </c>
      <c r="C51">
        <v>113</v>
      </c>
      <c r="D51" s="5">
        <v>45831</v>
      </c>
      <c r="E51">
        <v>1</v>
      </c>
      <c r="F51">
        <f>_xlfn.XLOOKUP(C51,Products!A:A,Products!D:D)</f>
        <v>2200</v>
      </c>
      <c r="G51">
        <f>Table3[[#This Row],[quantity]]*Table3[[#This Row],[Product Price]]</f>
        <v>2200</v>
      </c>
      <c r="H51" t="str">
        <f>_xlfn.XLOOKUP(C51,Products!A:A,Products!C:C)</f>
        <v>Accessories</v>
      </c>
      <c r="I51" s="6">
        <f t="shared" si="1"/>
        <v>6</v>
      </c>
      <c r="J51" s="6" t="str">
        <f>_xlfn.XLOOKUP(C51,Products!A:A,Products!B:B)</f>
        <v>Backpack</v>
      </c>
    </row>
    <row r="52" spans="1:10">
      <c r="A52">
        <v>1051</v>
      </c>
      <c r="B52">
        <v>8</v>
      </c>
      <c r="C52">
        <v>107</v>
      </c>
      <c r="D52" s="5">
        <v>45755</v>
      </c>
      <c r="E52">
        <v>4</v>
      </c>
      <c r="F52">
        <f>_xlfn.XLOOKUP(C52,Products!A:A,Products!D:D)</f>
        <v>900</v>
      </c>
      <c r="G52">
        <f>Table3[[#This Row],[quantity]]*Table3[[#This Row],[Product Price]]</f>
        <v>3600</v>
      </c>
      <c r="H52" t="str">
        <f>_xlfn.XLOOKUP(C52,Products!A:A,Products!C:C)</f>
        <v>Electronics</v>
      </c>
      <c r="I52" s="6">
        <f t="shared" si="1"/>
        <v>4</v>
      </c>
      <c r="J52" s="6" t="str">
        <f>_xlfn.XLOOKUP(C52,Products!A:A,Products!B:B)</f>
        <v>Phone Stand</v>
      </c>
    </row>
    <row r="53" spans="1:10">
      <c r="A53">
        <v>1052</v>
      </c>
      <c r="B53">
        <v>5</v>
      </c>
      <c r="C53">
        <v>114</v>
      </c>
      <c r="D53" s="5">
        <v>45751</v>
      </c>
      <c r="E53">
        <v>3</v>
      </c>
      <c r="F53">
        <f>_xlfn.XLOOKUP(C53,Products!A:A,Products!D:D)</f>
        <v>3200</v>
      </c>
      <c r="G53">
        <f>Table3[[#This Row],[quantity]]*Table3[[#This Row],[Product Price]]</f>
        <v>9600</v>
      </c>
      <c r="H53" t="str">
        <f>_xlfn.XLOOKUP(C53,Products!A:A,Products!C:C)</f>
        <v>Accessories</v>
      </c>
      <c r="I53" s="6">
        <f t="shared" si="1"/>
        <v>4</v>
      </c>
      <c r="J53" s="6" t="str">
        <f>_xlfn.XLOOKUP(C53,Products!A:A,Products!B:B)</f>
        <v>Travel Bag</v>
      </c>
    </row>
    <row r="54" spans="1:10">
      <c r="A54">
        <v>1053</v>
      </c>
      <c r="B54">
        <v>15</v>
      </c>
      <c r="C54">
        <v>108</v>
      </c>
      <c r="D54" s="5">
        <v>45696</v>
      </c>
      <c r="E54">
        <v>4</v>
      </c>
      <c r="F54">
        <f>_xlfn.XLOOKUP(C54,Products!A:A,Products!D:D)</f>
        <v>1800</v>
      </c>
      <c r="G54">
        <f>Table3[[#This Row],[quantity]]*Table3[[#This Row],[Product Price]]</f>
        <v>7200</v>
      </c>
      <c r="H54" t="str">
        <f>_xlfn.XLOOKUP(C54,Products!A:A,Products!C:C)</f>
        <v>Electronics</v>
      </c>
      <c r="I54" s="6">
        <f t="shared" si="1"/>
        <v>2</v>
      </c>
      <c r="J54" s="6" t="str">
        <f>_xlfn.XLOOKUP(C54,Products!A:A,Products!B:B)</f>
        <v>Power Bank</v>
      </c>
    </row>
    <row r="55" spans="1:10">
      <c r="A55">
        <v>1054</v>
      </c>
      <c r="B55">
        <v>18</v>
      </c>
      <c r="C55">
        <v>104</v>
      </c>
      <c r="D55" s="5">
        <v>45683</v>
      </c>
      <c r="E55">
        <v>1</v>
      </c>
      <c r="F55">
        <f>_xlfn.XLOOKUP(C55,Products!A:A,Products!D:D)</f>
        <v>2200</v>
      </c>
      <c r="G55">
        <f>Table3[[#This Row],[quantity]]*Table3[[#This Row],[Product Price]]</f>
        <v>2200</v>
      </c>
      <c r="H55" t="str">
        <f>_xlfn.XLOOKUP(C55,Products!A:A,Products!C:C)</f>
        <v>Electronics</v>
      </c>
      <c r="I55" s="6">
        <f t="shared" si="1"/>
        <v>1</v>
      </c>
      <c r="J55" s="6" t="str">
        <f>_xlfn.XLOOKUP(C55,Products!A:A,Products!B:B)</f>
        <v>USB-C Hub</v>
      </c>
    </row>
    <row r="56" spans="1:10">
      <c r="A56">
        <v>1055</v>
      </c>
      <c r="B56">
        <v>3</v>
      </c>
      <c r="C56">
        <v>125</v>
      </c>
      <c r="D56" s="5">
        <v>45779</v>
      </c>
      <c r="E56">
        <v>2</v>
      </c>
      <c r="F56">
        <f>_xlfn.XLOOKUP(C56,Products!A:A,Products!D:D)</f>
        <v>1800</v>
      </c>
      <c r="G56">
        <f>Table3[[#This Row],[quantity]]*Table3[[#This Row],[Product Price]]</f>
        <v>3600</v>
      </c>
      <c r="H56" t="str">
        <f>_xlfn.XLOOKUP(C56,Products!A:A,Products!C:C)</f>
        <v>Home Appliances</v>
      </c>
      <c r="I56" s="6">
        <f t="shared" si="1"/>
        <v>5</v>
      </c>
      <c r="J56" s="6" t="str">
        <f>_xlfn.XLOOKUP(C56,Products!A:A,Products!B:B)</f>
        <v>Electric Kettle</v>
      </c>
    </row>
    <row r="57" spans="1:10">
      <c r="A57">
        <v>1056</v>
      </c>
      <c r="B57">
        <v>14</v>
      </c>
      <c r="C57">
        <v>116</v>
      </c>
      <c r="D57" s="5">
        <v>45904</v>
      </c>
      <c r="E57">
        <v>2</v>
      </c>
      <c r="F57">
        <f>_xlfn.XLOOKUP(C57,Products!A:A,Products!D:D)</f>
        <v>4800</v>
      </c>
      <c r="G57">
        <f>Table3[[#This Row],[quantity]]*Table3[[#This Row],[Product Price]]</f>
        <v>9600</v>
      </c>
      <c r="H57" t="str">
        <f>_xlfn.XLOOKUP(C57,Products!A:A,Products!C:C)</f>
        <v>Sports</v>
      </c>
      <c r="I57" s="6">
        <f t="shared" si="1"/>
        <v>9</v>
      </c>
      <c r="J57" s="6" t="str">
        <f>_xlfn.XLOOKUP(C57,Products!A:A,Products!B:B)</f>
        <v>Running Shoes</v>
      </c>
    </row>
    <row r="58" spans="1:10">
      <c r="A58">
        <v>1057</v>
      </c>
      <c r="B58">
        <v>13</v>
      </c>
      <c r="C58">
        <v>102</v>
      </c>
      <c r="D58" s="5">
        <v>45742</v>
      </c>
      <c r="E58">
        <v>4</v>
      </c>
      <c r="F58">
        <f>_xlfn.XLOOKUP(C58,Products!A:A,Products!D:D)</f>
        <v>1200</v>
      </c>
      <c r="G58">
        <f>Table3[[#This Row],[quantity]]*Table3[[#This Row],[Product Price]]</f>
        <v>4800</v>
      </c>
      <c r="H58" t="str">
        <f>_xlfn.XLOOKUP(C58,Products!A:A,Products!C:C)</f>
        <v>Electronics</v>
      </c>
      <c r="I58" s="6">
        <f t="shared" si="1"/>
        <v>3</v>
      </c>
      <c r="J58" s="6" t="str">
        <f>_xlfn.XLOOKUP(C58,Products!A:A,Products!B:B)</f>
        <v>Wireless Mouse</v>
      </c>
    </row>
    <row r="59" spans="1:10">
      <c r="A59">
        <v>1058</v>
      </c>
      <c r="B59">
        <v>1</v>
      </c>
      <c r="C59">
        <v>113</v>
      </c>
      <c r="D59" s="5">
        <v>45793</v>
      </c>
      <c r="E59">
        <v>4</v>
      </c>
      <c r="F59">
        <f>_xlfn.XLOOKUP(C59,Products!A:A,Products!D:D)</f>
        <v>2200</v>
      </c>
      <c r="G59">
        <f>Table3[[#This Row],[quantity]]*Table3[[#This Row],[Product Price]]</f>
        <v>8800</v>
      </c>
      <c r="H59" t="str">
        <f>_xlfn.XLOOKUP(C59,Products!A:A,Products!C:C)</f>
        <v>Accessories</v>
      </c>
      <c r="I59" s="6">
        <f t="shared" si="1"/>
        <v>5</v>
      </c>
      <c r="J59" s="6" t="str">
        <f>_xlfn.XLOOKUP(C59,Products!A:A,Products!B:B)</f>
        <v>Backpack</v>
      </c>
    </row>
    <row r="60" spans="1:10">
      <c r="A60">
        <v>1059</v>
      </c>
      <c r="B60">
        <v>10</v>
      </c>
      <c r="C60">
        <v>114</v>
      </c>
      <c r="D60" s="5">
        <v>46014</v>
      </c>
      <c r="E60">
        <v>4</v>
      </c>
      <c r="F60">
        <f>_xlfn.XLOOKUP(C60,Products!A:A,Products!D:D)</f>
        <v>3200</v>
      </c>
      <c r="G60">
        <f>Table3[[#This Row],[quantity]]*Table3[[#This Row],[Product Price]]</f>
        <v>12800</v>
      </c>
      <c r="H60" t="str">
        <f>_xlfn.XLOOKUP(C60,Products!A:A,Products!C:C)</f>
        <v>Accessories</v>
      </c>
      <c r="I60" s="6">
        <f t="shared" si="1"/>
        <v>12</v>
      </c>
      <c r="J60" s="6" t="str">
        <f>_xlfn.XLOOKUP(C60,Products!A:A,Products!B:B)</f>
        <v>Travel Bag</v>
      </c>
    </row>
    <row r="61" spans="1:10">
      <c r="A61">
        <v>1060</v>
      </c>
      <c r="B61">
        <v>5</v>
      </c>
      <c r="C61">
        <v>107</v>
      </c>
      <c r="D61" s="5">
        <v>45809</v>
      </c>
      <c r="E61">
        <v>2</v>
      </c>
      <c r="F61">
        <f>_xlfn.XLOOKUP(C61,Products!A:A,Products!D:D)</f>
        <v>900</v>
      </c>
      <c r="G61">
        <f>Table3[[#This Row],[quantity]]*Table3[[#This Row],[Product Price]]</f>
        <v>1800</v>
      </c>
      <c r="H61" t="str">
        <f>_xlfn.XLOOKUP(C61,Products!A:A,Products!C:C)</f>
        <v>Electronics</v>
      </c>
      <c r="I61" s="6">
        <f t="shared" si="1"/>
        <v>6</v>
      </c>
      <c r="J61" s="6" t="str">
        <f>_xlfn.XLOOKUP(C61,Products!A:A,Products!B:B)</f>
        <v>Phone Stand</v>
      </c>
    </row>
    <row r="62" spans="1:10">
      <c r="A62">
        <v>1061</v>
      </c>
      <c r="B62">
        <v>2</v>
      </c>
      <c r="C62">
        <v>119</v>
      </c>
      <c r="D62" s="5">
        <v>45935</v>
      </c>
      <c r="E62">
        <v>1</v>
      </c>
      <c r="F62">
        <f>_xlfn.XLOOKUP(C62,Products!A:A,Products!D:D)</f>
        <v>900</v>
      </c>
      <c r="G62">
        <f>Table3[[#This Row],[quantity]]*Table3[[#This Row],[Product Price]]</f>
        <v>900</v>
      </c>
      <c r="H62" t="str">
        <f>_xlfn.XLOOKUP(C62,Products!A:A,Products!C:C)</f>
        <v>Clothing</v>
      </c>
      <c r="I62" s="6">
        <f t="shared" si="1"/>
        <v>10</v>
      </c>
      <c r="J62" s="6" t="str">
        <f>_xlfn.XLOOKUP(C62,Products!A:A,Products!B:B)</f>
        <v>T-Shirt</v>
      </c>
    </row>
    <row r="63" spans="1:10">
      <c r="A63">
        <v>1062</v>
      </c>
      <c r="B63">
        <v>11</v>
      </c>
      <c r="C63">
        <v>102</v>
      </c>
      <c r="D63" s="5">
        <v>45683</v>
      </c>
      <c r="E63">
        <v>4</v>
      </c>
      <c r="F63">
        <f>_xlfn.XLOOKUP(C63,Products!A:A,Products!D:D)</f>
        <v>1200</v>
      </c>
      <c r="G63">
        <f>Table3[[#This Row],[quantity]]*Table3[[#This Row],[Product Price]]</f>
        <v>4800</v>
      </c>
      <c r="H63" t="str">
        <f>_xlfn.XLOOKUP(C63,Products!A:A,Products!C:C)</f>
        <v>Electronics</v>
      </c>
      <c r="I63" s="6">
        <f t="shared" si="1"/>
        <v>1</v>
      </c>
      <c r="J63" s="6" t="str">
        <f>_xlfn.XLOOKUP(C63,Products!A:A,Products!B:B)</f>
        <v>Wireless Mouse</v>
      </c>
    </row>
    <row r="64" spans="1:10">
      <c r="A64">
        <v>1063</v>
      </c>
      <c r="B64">
        <v>17</v>
      </c>
      <c r="C64">
        <v>117</v>
      </c>
      <c r="D64" s="5">
        <v>45738</v>
      </c>
      <c r="E64">
        <v>1</v>
      </c>
      <c r="F64">
        <f>_xlfn.XLOOKUP(C64,Products!A:A,Products!D:D)</f>
        <v>1200</v>
      </c>
      <c r="G64">
        <f>Table3[[#This Row],[quantity]]*Table3[[#This Row],[Product Price]]</f>
        <v>1200</v>
      </c>
      <c r="H64" t="str">
        <f>_xlfn.XLOOKUP(C64,Products!A:A,Products!C:C)</f>
        <v>Sports</v>
      </c>
      <c r="I64" s="6">
        <f t="shared" si="1"/>
        <v>3</v>
      </c>
      <c r="J64" s="6" t="str">
        <f>_xlfn.XLOOKUP(C64,Products!A:A,Products!B:B)</f>
        <v>Yoga Mat</v>
      </c>
    </row>
    <row r="65" spans="1:10">
      <c r="A65">
        <v>1064</v>
      </c>
      <c r="B65">
        <v>17</v>
      </c>
      <c r="C65">
        <v>103</v>
      </c>
      <c r="D65" s="5">
        <v>45753</v>
      </c>
      <c r="E65">
        <v>1</v>
      </c>
      <c r="F65">
        <f>_xlfn.XLOOKUP(C65,Products!A:A,Products!D:D)</f>
        <v>3500</v>
      </c>
      <c r="G65">
        <f>Table3[[#This Row],[quantity]]*Table3[[#This Row],[Product Price]]</f>
        <v>3500</v>
      </c>
      <c r="H65" t="str">
        <f>_xlfn.XLOOKUP(C65,Products!A:A,Products!C:C)</f>
        <v>Electronics</v>
      </c>
      <c r="I65" s="6">
        <f t="shared" si="1"/>
        <v>4</v>
      </c>
      <c r="J65" s="6" t="str">
        <f>_xlfn.XLOOKUP(C65,Products!A:A,Products!B:B)</f>
        <v>Mechanical Keyboard</v>
      </c>
    </row>
    <row r="66" spans="1:10">
      <c r="A66">
        <v>1065</v>
      </c>
      <c r="B66">
        <v>20</v>
      </c>
      <c r="C66">
        <v>103</v>
      </c>
      <c r="D66" s="5">
        <v>46003</v>
      </c>
      <c r="E66">
        <v>2</v>
      </c>
      <c r="F66">
        <f>_xlfn.XLOOKUP(C66,Products!A:A,Products!D:D)</f>
        <v>3500</v>
      </c>
      <c r="G66">
        <f>Table3[[#This Row],[quantity]]*Table3[[#This Row],[Product Price]]</f>
        <v>7000</v>
      </c>
      <c r="H66" t="str">
        <f>_xlfn.XLOOKUP(C66,Products!A:A,Products!C:C)</f>
        <v>Electronics</v>
      </c>
      <c r="I66" s="6">
        <f t="shared" ref="I66:I97" si="2">MONTH(D66)</f>
        <v>12</v>
      </c>
      <c r="J66" s="6" t="str">
        <f>_xlfn.XLOOKUP(C66,Products!A:A,Products!B:B)</f>
        <v>Mechanical Keyboard</v>
      </c>
    </row>
    <row r="67" spans="1:10">
      <c r="A67">
        <v>1066</v>
      </c>
      <c r="B67">
        <v>13</v>
      </c>
      <c r="C67">
        <v>104</v>
      </c>
      <c r="D67" s="5">
        <v>45949</v>
      </c>
      <c r="E67">
        <v>2</v>
      </c>
      <c r="F67">
        <f>_xlfn.XLOOKUP(C67,Products!A:A,Products!D:D)</f>
        <v>2200</v>
      </c>
      <c r="G67">
        <f>Table3[[#This Row],[quantity]]*Table3[[#This Row],[Product Price]]</f>
        <v>4400</v>
      </c>
      <c r="H67" t="str">
        <f>_xlfn.XLOOKUP(C67,Products!A:A,Products!C:C)</f>
        <v>Electronics</v>
      </c>
      <c r="I67" s="6">
        <f t="shared" si="2"/>
        <v>10</v>
      </c>
      <c r="J67" s="6" t="str">
        <f>_xlfn.XLOOKUP(C67,Products!A:A,Products!B:B)</f>
        <v>USB-C Hub</v>
      </c>
    </row>
    <row r="68" spans="1:10">
      <c r="A68">
        <v>1067</v>
      </c>
      <c r="B68">
        <v>19</v>
      </c>
      <c r="C68">
        <v>120</v>
      </c>
      <c r="D68" s="5">
        <v>45678</v>
      </c>
      <c r="E68">
        <v>1</v>
      </c>
      <c r="F68">
        <f>_xlfn.XLOOKUP(C68,Products!A:A,Products!D:D)</f>
        <v>2200</v>
      </c>
      <c r="G68">
        <f>Table3[[#This Row],[quantity]]*Table3[[#This Row],[Product Price]]</f>
        <v>2200</v>
      </c>
      <c r="H68" t="str">
        <f>_xlfn.XLOOKUP(C68,Products!A:A,Products!C:C)</f>
        <v>Clothing</v>
      </c>
      <c r="I68" s="6">
        <f t="shared" si="2"/>
        <v>1</v>
      </c>
      <c r="J68" s="6" t="str">
        <f>_xlfn.XLOOKUP(C68,Products!A:A,Products!B:B)</f>
        <v>Jeans</v>
      </c>
    </row>
    <row r="69" spans="1:10">
      <c r="A69">
        <v>1068</v>
      </c>
      <c r="B69">
        <v>14</v>
      </c>
      <c r="C69">
        <v>122</v>
      </c>
      <c r="D69" s="5">
        <v>45956</v>
      </c>
      <c r="E69">
        <v>3</v>
      </c>
      <c r="F69">
        <f>_xlfn.XLOOKUP(C69,Products!A:A,Products!D:D)</f>
        <v>3500</v>
      </c>
      <c r="G69">
        <f>Table3[[#This Row],[quantity]]*Table3[[#This Row],[Product Price]]</f>
        <v>10500</v>
      </c>
      <c r="H69" t="str">
        <f>_xlfn.XLOOKUP(C69,Products!A:A,Products!C:C)</f>
        <v>Clothing</v>
      </c>
      <c r="I69" s="6">
        <f t="shared" si="2"/>
        <v>10</v>
      </c>
      <c r="J69" s="6" t="str">
        <f>_xlfn.XLOOKUP(C69,Products!A:A,Products!B:B)</f>
        <v>Jacket</v>
      </c>
    </row>
    <row r="70" spans="1:10">
      <c r="A70">
        <v>1069</v>
      </c>
      <c r="B70">
        <v>9</v>
      </c>
      <c r="C70">
        <v>107</v>
      </c>
      <c r="D70" s="5">
        <v>46000</v>
      </c>
      <c r="E70">
        <v>3</v>
      </c>
      <c r="F70">
        <f>_xlfn.XLOOKUP(C70,Products!A:A,Products!D:D)</f>
        <v>900</v>
      </c>
      <c r="G70">
        <f>Table3[[#This Row],[quantity]]*Table3[[#This Row],[Product Price]]</f>
        <v>2700</v>
      </c>
      <c r="H70" t="str">
        <f>_xlfn.XLOOKUP(C70,Products!A:A,Products!C:C)</f>
        <v>Electronics</v>
      </c>
      <c r="I70" s="6">
        <f t="shared" si="2"/>
        <v>12</v>
      </c>
      <c r="J70" s="6" t="str">
        <f>_xlfn.XLOOKUP(C70,Products!A:A,Products!B:B)</f>
        <v>Phone Stand</v>
      </c>
    </row>
    <row r="71" spans="1:10">
      <c r="A71">
        <v>1070</v>
      </c>
      <c r="B71">
        <v>8</v>
      </c>
      <c r="C71">
        <v>109</v>
      </c>
      <c r="D71" s="5">
        <v>45860</v>
      </c>
      <c r="E71">
        <v>2</v>
      </c>
      <c r="F71">
        <f>_xlfn.XLOOKUP(C71,Products!A:A,Products!D:D)</f>
        <v>12000</v>
      </c>
      <c r="G71">
        <f>Table3[[#This Row],[quantity]]*Table3[[#This Row],[Product Price]]</f>
        <v>24000</v>
      </c>
      <c r="H71" t="str">
        <f>_xlfn.XLOOKUP(C71,Products!A:A,Products!C:C)</f>
        <v>Furniture</v>
      </c>
      <c r="I71" s="6">
        <f t="shared" si="2"/>
        <v>7</v>
      </c>
      <c r="J71" s="6" t="str">
        <f>_xlfn.XLOOKUP(C71,Products!A:A,Products!B:B)</f>
        <v>Office Chair</v>
      </c>
    </row>
    <row r="72" spans="1:10">
      <c r="A72">
        <v>1071</v>
      </c>
      <c r="B72">
        <v>10</v>
      </c>
      <c r="C72">
        <v>115</v>
      </c>
      <c r="D72" s="5">
        <v>45819</v>
      </c>
      <c r="E72">
        <v>1</v>
      </c>
      <c r="F72">
        <f>_xlfn.XLOOKUP(C72,Products!A:A,Products!D:D)</f>
        <v>1500</v>
      </c>
      <c r="G72">
        <f>Table3[[#This Row],[quantity]]*Table3[[#This Row],[Product Price]]</f>
        <v>1500</v>
      </c>
      <c r="H72" t="str">
        <f>_xlfn.XLOOKUP(C72,Products!A:A,Products!C:C)</f>
        <v>Accessories</v>
      </c>
      <c r="I72" s="6">
        <f t="shared" si="2"/>
        <v>6</v>
      </c>
      <c r="J72" s="6" t="str">
        <f>_xlfn.XLOOKUP(C72,Products!A:A,Products!B:B)</f>
        <v>Wallet</v>
      </c>
    </row>
    <row r="73" spans="1:10">
      <c r="A73">
        <v>1072</v>
      </c>
      <c r="B73">
        <v>1</v>
      </c>
      <c r="C73">
        <v>115</v>
      </c>
      <c r="D73" s="5">
        <v>45976</v>
      </c>
      <c r="E73">
        <v>1</v>
      </c>
      <c r="F73">
        <f>_xlfn.XLOOKUP(C73,Products!A:A,Products!D:D)</f>
        <v>1500</v>
      </c>
      <c r="G73">
        <f>Table3[[#This Row],[quantity]]*Table3[[#This Row],[Product Price]]</f>
        <v>1500</v>
      </c>
      <c r="H73" t="str">
        <f>_xlfn.XLOOKUP(C73,Products!A:A,Products!C:C)</f>
        <v>Accessories</v>
      </c>
      <c r="I73" s="6">
        <f t="shared" si="2"/>
        <v>11</v>
      </c>
      <c r="J73" s="6" t="str">
        <f>_xlfn.XLOOKUP(C73,Products!A:A,Products!B:B)</f>
        <v>Wallet</v>
      </c>
    </row>
    <row r="74" spans="1:10">
      <c r="A74">
        <v>1073</v>
      </c>
      <c r="B74">
        <v>3</v>
      </c>
      <c r="C74">
        <v>118</v>
      </c>
      <c r="D74" s="5">
        <v>45767</v>
      </c>
      <c r="E74">
        <v>3</v>
      </c>
      <c r="F74">
        <f>_xlfn.XLOOKUP(C74,Products!A:A,Products!D:D)</f>
        <v>2500</v>
      </c>
      <c r="G74">
        <f>Table3[[#This Row],[quantity]]*Table3[[#This Row],[Product Price]]</f>
        <v>7500</v>
      </c>
      <c r="H74" t="str">
        <f>_xlfn.XLOOKUP(C74,Products!A:A,Products!C:C)</f>
        <v>Sports</v>
      </c>
      <c r="I74" s="6">
        <f t="shared" si="2"/>
        <v>4</v>
      </c>
      <c r="J74" s="6" t="str">
        <f>_xlfn.XLOOKUP(C74,Products!A:A,Products!B:B)</f>
        <v>Dumbbells</v>
      </c>
    </row>
    <row r="75" spans="1:10">
      <c r="A75">
        <v>1074</v>
      </c>
      <c r="B75">
        <v>5</v>
      </c>
      <c r="C75">
        <v>112</v>
      </c>
      <c r="D75" s="5">
        <v>45693</v>
      </c>
      <c r="E75">
        <v>2</v>
      </c>
      <c r="F75">
        <f>_xlfn.XLOOKUP(C75,Products!A:A,Products!D:D)</f>
        <v>1800</v>
      </c>
      <c r="G75">
        <f>Table3[[#This Row],[quantity]]*Table3[[#This Row],[Product Price]]</f>
        <v>3600</v>
      </c>
      <c r="H75" t="str">
        <f>_xlfn.XLOOKUP(C75,Products!A:A,Products!C:C)</f>
        <v>Furniture</v>
      </c>
      <c r="I75" s="6">
        <f t="shared" si="2"/>
        <v>2</v>
      </c>
      <c r="J75" s="6" t="str">
        <f>_xlfn.XLOOKUP(C75,Products!A:A,Products!B:B)</f>
        <v>Table Lamp</v>
      </c>
    </row>
    <row r="76" spans="1:10">
      <c r="A76">
        <v>1075</v>
      </c>
      <c r="B76">
        <v>12</v>
      </c>
      <c r="C76">
        <v>110</v>
      </c>
      <c r="D76" s="5">
        <v>45738</v>
      </c>
      <c r="E76">
        <v>4</v>
      </c>
      <c r="F76">
        <f>_xlfn.XLOOKUP(C76,Products!A:A,Products!D:D)</f>
        <v>9500</v>
      </c>
      <c r="G76">
        <f>Table3[[#This Row],[quantity]]*Table3[[#This Row],[Product Price]]</f>
        <v>38000</v>
      </c>
      <c r="H76" t="str">
        <f>_xlfn.XLOOKUP(C76,Products!A:A,Products!C:C)</f>
        <v>Furniture</v>
      </c>
      <c r="I76" s="6">
        <f t="shared" si="2"/>
        <v>3</v>
      </c>
      <c r="J76" s="6" t="str">
        <f>_xlfn.XLOOKUP(C76,Products!A:A,Products!B:B)</f>
        <v>Study Desk</v>
      </c>
    </row>
    <row r="77" spans="1:10">
      <c r="A77">
        <v>1076</v>
      </c>
      <c r="B77">
        <v>18</v>
      </c>
      <c r="C77">
        <v>123</v>
      </c>
      <c r="D77" s="5">
        <v>45812</v>
      </c>
      <c r="E77">
        <v>1</v>
      </c>
      <c r="F77">
        <f>_xlfn.XLOOKUP(C77,Products!A:A,Products!D:D)</f>
        <v>5500</v>
      </c>
      <c r="G77">
        <f>Table3[[#This Row],[quantity]]*Table3[[#This Row],[Product Price]]</f>
        <v>5500</v>
      </c>
      <c r="H77" t="str">
        <f>_xlfn.XLOOKUP(C77,Products!A:A,Products!C:C)</f>
        <v>Home Appliances</v>
      </c>
      <c r="I77" s="6">
        <f t="shared" si="2"/>
        <v>6</v>
      </c>
      <c r="J77" s="6" t="str">
        <f>_xlfn.XLOOKUP(C77,Products!A:A,Products!B:B)</f>
        <v>Coffee Maker</v>
      </c>
    </row>
    <row r="78" spans="1:10">
      <c r="A78">
        <v>1077</v>
      </c>
      <c r="B78">
        <v>18</v>
      </c>
      <c r="C78">
        <v>110</v>
      </c>
      <c r="D78" s="5">
        <v>45997</v>
      </c>
      <c r="E78">
        <v>1</v>
      </c>
      <c r="F78">
        <f>_xlfn.XLOOKUP(C78,Products!A:A,Products!D:D)</f>
        <v>9500</v>
      </c>
      <c r="G78">
        <f>Table3[[#This Row],[quantity]]*Table3[[#This Row],[Product Price]]</f>
        <v>9500</v>
      </c>
      <c r="H78" t="str">
        <f>_xlfn.XLOOKUP(C78,Products!A:A,Products!C:C)</f>
        <v>Furniture</v>
      </c>
      <c r="I78" s="6">
        <f t="shared" si="2"/>
        <v>12</v>
      </c>
      <c r="J78" s="6" t="str">
        <f>_xlfn.XLOOKUP(C78,Products!A:A,Products!B:B)</f>
        <v>Study Desk</v>
      </c>
    </row>
    <row r="79" spans="1:10">
      <c r="A79">
        <v>1078</v>
      </c>
      <c r="B79">
        <v>5</v>
      </c>
      <c r="C79">
        <v>109</v>
      </c>
      <c r="D79" s="5">
        <v>45717</v>
      </c>
      <c r="E79">
        <v>1</v>
      </c>
      <c r="F79">
        <f>_xlfn.XLOOKUP(C79,Products!A:A,Products!D:D)</f>
        <v>12000</v>
      </c>
      <c r="G79">
        <f>Table3[[#This Row],[quantity]]*Table3[[#This Row],[Product Price]]</f>
        <v>12000</v>
      </c>
      <c r="H79" t="str">
        <f>_xlfn.XLOOKUP(C79,Products!A:A,Products!C:C)</f>
        <v>Furniture</v>
      </c>
      <c r="I79" s="6">
        <f t="shared" si="2"/>
        <v>3</v>
      </c>
      <c r="J79" s="6" t="str">
        <f>_xlfn.XLOOKUP(C79,Products!A:A,Products!B:B)</f>
        <v>Office Chair</v>
      </c>
    </row>
    <row r="80" spans="1:10">
      <c r="A80">
        <v>1079</v>
      </c>
      <c r="B80">
        <v>18</v>
      </c>
      <c r="C80">
        <v>105</v>
      </c>
      <c r="D80" s="5">
        <v>45797</v>
      </c>
      <c r="E80">
        <v>3</v>
      </c>
      <c r="F80">
        <f>_xlfn.XLOOKUP(C80,Products!A:A,Products!D:D)</f>
        <v>4500</v>
      </c>
      <c r="G80">
        <f>Table3[[#This Row],[quantity]]*Table3[[#This Row],[Product Price]]</f>
        <v>13500</v>
      </c>
      <c r="H80" t="str">
        <f>_xlfn.XLOOKUP(C80,Products!A:A,Products!C:C)</f>
        <v>Electronics</v>
      </c>
      <c r="I80" s="6">
        <f t="shared" si="2"/>
        <v>5</v>
      </c>
      <c r="J80" s="6" t="str">
        <f>_xlfn.XLOOKUP(C80,Products!A:A,Products!B:B)</f>
        <v>Bluetooth Headphones</v>
      </c>
    </row>
    <row r="81" spans="1:10">
      <c r="A81">
        <v>1080</v>
      </c>
      <c r="B81">
        <v>20</v>
      </c>
      <c r="C81">
        <v>107</v>
      </c>
      <c r="D81" s="5">
        <v>45833</v>
      </c>
      <c r="E81">
        <v>2</v>
      </c>
      <c r="F81">
        <f>_xlfn.XLOOKUP(C81,Products!A:A,Products!D:D)</f>
        <v>900</v>
      </c>
      <c r="G81">
        <f>Table3[[#This Row],[quantity]]*Table3[[#This Row],[Product Price]]</f>
        <v>1800</v>
      </c>
      <c r="H81" t="str">
        <f>_xlfn.XLOOKUP(C81,Products!A:A,Products!C:C)</f>
        <v>Electronics</v>
      </c>
      <c r="I81" s="6">
        <f t="shared" si="2"/>
        <v>6</v>
      </c>
      <c r="J81" s="6" t="str">
        <f>_xlfn.XLOOKUP(C81,Products!A:A,Products!B:B)</f>
        <v>Phone Stand</v>
      </c>
    </row>
    <row r="82" spans="1:10">
      <c r="A82">
        <v>1081</v>
      </c>
      <c r="B82">
        <v>9</v>
      </c>
      <c r="C82">
        <v>117</v>
      </c>
      <c r="D82" s="5">
        <v>45908</v>
      </c>
      <c r="E82">
        <v>3</v>
      </c>
      <c r="F82">
        <f>_xlfn.XLOOKUP(C82,Products!A:A,Products!D:D)</f>
        <v>1200</v>
      </c>
      <c r="G82">
        <f>Table3[[#This Row],[quantity]]*Table3[[#This Row],[Product Price]]</f>
        <v>3600</v>
      </c>
      <c r="H82" t="str">
        <f>_xlfn.XLOOKUP(C82,Products!A:A,Products!C:C)</f>
        <v>Sports</v>
      </c>
      <c r="I82" s="6">
        <f t="shared" si="2"/>
        <v>9</v>
      </c>
      <c r="J82" s="6" t="str">
        <f>_xlfn.XLOOKUP(C82,Products!A:A,Products!B:B)</f>
        <v>Yoga Mat</v>
      </c>
    </row>
    <row r="83" spans="1:10">
      <c r="A83">
        <v>1082</v>
      </c>
      <c r="B83">
        <v>2</v>
      </c>
      <c r="C83">
        <v>103</v>
      </c>
      <c r="D83" s="5">
        <v>45982</v>
      </c>
      <c r="E83">
        <v>4</v>
      </c>
      <c r="F83">
        <f>_xlfn.XLOOKUP(C83,Products!A:A,Products!D:D)</f>
        <v>3500</v>
      </c>
      <c r="G83">
        <f>Table3[[#This Row],[quantity]]*Table3[[#This Row],[Product Price]]</f>
        <v>14000</v>
      </c>
      <c r="H83" t="str">
        <f>_xlfn.XLOOKUP(C83,Products!A:A,Products!C:C)</f>
        <v>Electronics</v>
      </c>
      <c r="I83" s="6">
        <f t="shared" si="2"/>
        <v>11</v>
      </c>
      <c r="J83" s="6" t="str">
        <f>_xlfn.XLOOKUP(C83,Products!A:A,Products!B:B)</f>
        <v>Mechanical Keyboard</v>
      </c>
    </row>
    <row r="84" spans="1:10">
      <c r="A84">
        <v>1083</v>
      </c>
      <c r="B84">
        <v>9</v>
      </c>
      <c r="C84">
        <v>102</v>
      </c>
      <c r="D84" s="5">
        <v>45659</v>
      </c>
      <c r="E84">
        <v>3</v>
      </c>
      <c r="F84">
        <f>_xlfn.XLOOKUP(C84,Products!A:A,Products!D:D)</f>
        <v>1200</v>
      </c>
      <c r="G84">
        <f>Table3[[#This Row],[quantity]]*Table3[[#This Row],[Product Price]]</f>
        <v>3600</v>
      </c>
      <c r="H84" t="str">
        <f>_xlfn.XLOOKUP(C84,Products!A:A,Products!C:C)</f>
        <v>Electronics</v>
      </c>
      <c r="I84" s="6">
        <f t="shared" si="2"/>
        <v>1</v>
      </c>
      <c r="J84" s="6" t="str">
        <f>_xlfn.XLOOKUP(C84,Products!A:A,Products!B:B)</f>
        <v>Wireless Mouse</v>
      </c>
    </row>
    <row r="85" spans="1:10">
      <c r="A85">
        <v>1084</v>
      </c>
      <c r="B85">
        <v>5</v>
      </c>
      <c r="C85">
        <v>121</v>
      </c>
      <c r="D85" s="5">
        <v>45792</v>
      </c>
      <c r="E85">
        <v>2</v>
      </c>
      <c r="F85">
        <f>_xlfn.XLOOKUP(C85,Products!A:A,Products!D:D)</f>
        <v>1800</v>
      </c>
      <c r="G85">
        <f>Table3[[#This Row],[quantity]]*Table3[[#This Row],[Product Price]]</f>
        <v>3600</v>
      </c>
      <c r="H85" t="str">
        <f>_xlfn.XLOOKUP(C85,Products!A:A,Products!C:C)</f>
        <v>Clothing</v>
      </c>
      <c r="I85" s="6">
        <f t="shared" si="2"/>
        <v>5</v>
      </c>
      <c r="J85" s="6" t="str">
        <f>_xlfn.XLOOKUP(C85,Products!A:A,Products!B:B)</f>
        <v>Hoodie</v>
      </c>
    </row>
    <row r="86" spans="1:10">
      <c r="A86">
        <v>1085</v>
      </c>
      <c r="B86">
        <v>15</v>
      </c>
      <c r="C86">
        <v>118</v>
      </c>
      <c r="D86" s="5">
        <v>46019</v>
      </c>
      <c r="E86">
        <v>4</v>
      </c>
      <c r="F86">
        <f>_xlfn.XLOOKUP(C86,Products!A:A,Products!D:D)</f>
        <v>2500</v>
      </c>
      <c r="G86">
        <f>Table3[[#This Row],[quantity]]*Table3[[#This Row],[Product Price]]</f>
        <v>10000</v>
      </c>
      <c r="H86" t="str">
        <f>_xlfn.XLOOKUP(C86,Products!A:A,Products!C:C)</f>
        <v>Sports</v>
      </c>
      <c r="I86" s="6">
        <f t="shared" si="2"/>
        <v>12</v>
      </c>
      <c r="J86" s="6" t="str">
        <f>_xlfn.XLOOKUP(C86,Products!A:A,Products!B:B)</f>
        <v>Dumbbells</v>
      </c>
    </row>
    <row r="87" spans="1:10">
      <c r="A87">
        <v>1086</v>
      </c>
      <c r="B87">
        <v>18</v>
      </c>
      <c r="C87">
        <v>101</v>
      </c>
      <c r="D87" s="5">
        <v>45715</v>
      </c>
      <c r="E87">
        <v>1</v>
      </c>
      <c r="F87">
        <f>_xlfn.XLOOKUP(C87,Products!A:A,Products!D:D)</f>
        <v>65000</v>
      </c>
      <c r="G87">
        <f>Table3[[#This Row],[quantity]]*Table3[[#This Row],[Product Price]]</f>
        <v>65000</v>
      </c>
      <c r="H87" t="str">
        <f>_xlfn.XLOOKUP(C87,Products!A:A,Products!C:C)</f>
        <v>Electronics</v>
      </c>
      <c r="I87" s="6">
        <f t="shared" si="2"/>
        <v>2</v>
      </c>
      <c r="J87" s="6" t="str">
        <f>_xlfn.XLOOKUP(C87,Products!A:A,Products!B:B)</f>
        <v>Laptop Pro 14</v>
      </c>
    </row>
    <row r="88" spans="1:10">
      <c r="A88">
        <v>1087</v>
      </c>
      <c r="B88">
        <v>5</v>
      </c>
      <c r="C88">
        <v>118</v>
      </c>
      <c r="D88" s="5">
        <v>45676</v>
      </c>
      <c r="E88">
        <v>3</v>
      </c>
      <c r="F88">
        <f>_xlfn.XLOOKUP(C88,Products!A:A,Products!D:D)</f>
        <v>2500</v>
      </c>
      <c r="G88">
        <f>Table3[[#This Row],[quantity]]*Table3[[#This Row],[Product Price]]</f>
        <v>7500</v>
      </c>
      <c r="H88" t="str">
        <f>_xlfn.XLOOKUP(C88,Products!A:A,Products!C:C)</f>
        <v>Sports</v>
      </c>
      <c r="I88" s="6">
        <f t="shared" si="2"/>
        <v>1</v>
      </c>
      <c r="J88" s="6" t="str">
        <f>_xlfn.XLOOKUP(C88,Products!A:A,Products!B:B)</f>
        <v>Dumbbells</v>
      </c>
    </row>
    <row r="89" spans="1:10">
      <c r="A89">
        <v>1088</v>
      </c>
      <c r="B89">
        <v>19</v>
      </c>
      <c r="C89">
        <v>118</v>
      </c>
      <c r="D89" s="5">
        <v>45733</v>
      </c>
      <c r="E89">
        <v>4</v>
      </c>
      <c r="F89">
        <f>_xlfn.XLOOKUP(C89,Products!A:A,Products!D:D)</f>
        <v>2500</v>
      </c>
      <c r="G89">
        <f>Table3[[#This Row],[quantity]]*Table3[[#This Row],[Product Price]]</f>
        <v>10000</v>
      </c>
      <c r="H89" t="str">
        <f>_xlfn.XLOOKUP(C89,Products!A:A,Products!C:C)</f>
        <v>Sports</v>
      </c>
      <c r="I89" s="6">
        <f t="shared" si="2"/>
        <v>3</v>
      </c>
      <c r="J89" s="6" t="str">
        <f>_xlfn.XLOOKUP(C89,Products!A:A,Products!B:B)</f>
        <v>Dumbbells</v>
      </c>
    </row>
    <row r="90" spans="1:10">
      <c r="A90">
        <v>1089</v>
      </c>
      <c r="B90">
        <v>5</v>
      </c>
      <c r="C90">
        <v>102</v>
      </c>
      <c r="D90" s="5">
        <v>45815</v>
      </c>
      <c r="E90">
        <v>3</v>
      </c>
      <c r="F90">
        <f>_xlfn.XLOOKUP(C90,Products!A:A,Products!D:D)</f>
        <v>1200</v>
      </c>
      <c r="G90">
        <f>Table3[[#This Row],[quantity]]*Table3[[#This Row],[Product Price]]</f>
        <v>3600</v>
      </c>
      <c r="H90" t="str">
        <f>_xlfn.XLOOKUP(C90,Products!A:A,Products!C:C)</f>
        <v>Electronics</v>
      </c>
      <c r="I90" s="6">
        <f t="shared" si="2"/>
        <v>6</v>
      </c>
      <c r="J90" s="6" t="str">
        <f>_xlfn.XLOOKUP(C90,Products!A:A,Products!B:B)</f>
        <v>Wireless Mouse</v>
      </c>
    </row>
    <row r="91" spans="1:10">
      <c r="A91">
        <v>1090</v>
      </c>
      <c r="B91">
        <v>2</v>
      </c>
      <c r="C91">
        <v>112</v>
      </c>
      <c r="D91" s="5">
        <v>45765</v>
      </c>
      <c r="E91">
        <v>2</v>
      </c>
      <c r="F91">
        <f>_xlfn.XLOOKUP(C91,Products!A:A,Products!D:D)</f>
        <v>1800</v>
      </c>
      <c r="G91">
        <f>Table3[[#This Row],[quantity]]*Table3[[#This Row],[Product Price]]</f>
        <v>3600</v>
      </c>
      <c r="H91" t="str">
        <f>_xlfn.XLOOKUP(C91,Products!A:A,Products!C:C)</f>
        <v>Furniture</v>
      </c>
      <c r="I91" s="6">
        <f t="shared" si="2"/>
        <v>4</v>
      </c>
      <c r="J91" s="6" t="str">
        <f>_xlfn.XLOOKUP(C91,Products!A:A,Products!B:B)</f>
        <v>Table Lamp</v>
      </c>
    </row>
    <row r="92" spans="1:10">
      <c r="A92">
        <v>1091</v>
      </c>
      <c r="B92">
        <v>4</v>
      </c>
      <c r="C92">
        <v>112</v>
      </c>
      <c r="D92" s="5">
        <v>45944</v>
      </c>
      <c r="E92">
        <v>4</v>
      </c>
      <c r="F92">
        <f>_xlfn.XLOOKUP(C92,Products!A:A,Products!D:D)</f>
        <v>1800</v>
      </c>
      <c r="G92">
        <f>Table3[[#This Row],[quantity]]*Table3[[#This Row],[Product Price]]</f>
        <v>7200</v>
      </c>
      <c r="H92" t="str">
        <f>_xlfn.XLOOKUP(C92,Products!A:A,Products!C:C)</f>
        <v>Furniture</v>
      </c>
      <c r="I92" s="6">
        <f t="shared" si="2"/>
        <v>10</v>
      </c>
      <c r="J92" s="6" t="str">
        <f>_xlfn.XLOOKUP(C92,Products!A:A,Products!B:B)</f>
        <v>Table Lamp</v>
      </c>
    </row>
    <row r="93" spans="1:10">
      <c r="A93">
        <v>1092</v>
      </c>
      <c r="B93">
        <v>20</v>
      </c>
      <c r="C93">
        <v>124</v>
      </c>
      <c r="D93" s="5">
        <v>45737</v>
      </c>
      <c r="E93">
        <v>2</v>
      </c>
      <c r="F93">
        <f>_xlfn.XLOOKUP(C93,Products!A:A,Products!D:D)</f>
        <v>6200</v>
      </c>
      <c r="G93">
        <f>Table3[[#This Row],[quantity]]*Table3[[#This Row],[Product Price]]</f>
        <v>12400</v>
      </c>
      <c r="H93" t="str">
        <f>_xlfn.XLOOKUP(C93,Products!A:A,Products!C:C)</f>
        <v>Home Appliances</v>
      </c>
      <c r="I93" s="6">
        <f t="shared" si="2"/>
        <v>3</v>
      </c>
      <c r="J93" s="6" t="str">
        <f>_xlfn.XLOOKUP(C93,Products!A:A,Products!B:B)</f>
        <v>Air Fryer</v>
      </c>
    </row>
    <row r="94" spans="1:10">
      <c r="A94">
        <v>1093</v>
      </c>
      <c r="B94">
        <v>6</v>
      </c>
      <c r="C94">
        <v>106</v>
      </c>
      <c r="D94" s="5">
        <v>45869</v>
      </c>
      <c r="E94">
        <v>1</v>
      </c>
      <c r="F94">
        <f>_xlfn.XLOOKUP(C94,Products!A:A,Products!D:D)</f>
        <v>7500</v>
      </c>
      <c r="G94">
        <f>Table3[[#This Row],[quantity]]*Table3[[#This Row],[Product Price]]</f>
        <v>7500</v>
      </c>
      <c r="H94" t="str">
        <f>_xlfn.XLOOKUP(C94,Products!A:A,Products!C:C)</f>
        <v>Electronics</v>
      </c>
      <c r="I94" s="6">
        <f t="shared" si="2"/>
        <v>7</v>
      </c>
      <c r="J94" s="6" t="str">
        <f>_xlfn.XLOOKUP(C94,Products!A:A,Products!B:B)</f>
        <v>Smart Watch</v>
      </c>
    </row>
    <row r="95" spans="1:10">
      <c r="A95">
        <v>1094</v>
      </c>
      <c r="B95">
        <v>6</v>
      </c>
      <c r="C95">
        <v>124</v>
      </c>
      <c r="D95" s="5">
        <v>45828</v>
      </c>
      <c r="E95">
        <v>4</v>
      </c>
      <c r="F95">
        <f>_xlfn.XLOOKUP(C95,Products!A:A,Products!D:D)</f>
        <v>6200</v>
      </c>
      <c r="G95">
        <f>Table3[[#This Row],[quantity]]*Table3[[#This Row],[Product Price]]</f>
        <v>24800</v>
      </c>
      <c r="H95" t="str">
        <f>_xlfn.XLOOKUP(C95,Products!A:A,Products!C:C)</f>
        <v>Home Appliances</v>
      </c>
      <c r="I95" s="6">
        <f t="shared" si="2"/>
        <v>6</v>
      </c>
      <c r="J95" s="6" t="str">
        <f>_xlfn.XLOOKUP(C95,Products!A:A,Products!B:B)</f>
        <v>Air Fryer</v>
      </c>
    </row>
    <row r="96" spans="1:10">
      <c r="A96">
        <v>1095</v>
      </c>
      <c r="B96">
        <v>8</v>
      </c>
      <c r="C96">
        <v>109</v>
      </c>
      <c r="D96" s="5">
        <v>45739</v>
      </c>
      <c r="E96">
        <v>1</v>
      </c>
      <c r="F96">
        <f>_xlfn.XLOOKUP(C96,Products!A:A,Products!D:D)</f>
        <v>12000</v>
      </c>
      <c r="G96">
        <f>Table3[[#This Row],[quantity]]*Table3[[#This Row],[Product Price]]</f>
        <v>12000</v>
      </c>
      <c r="H96" t="str">
        <f>_xlfn.XLOOKUP(C96,Products!A:A,Products!C:C)</f>
        <v>Furniture</v>
      </c>
      <c r="I96" s="6">
        <f t="shared" si="2"/>
        <v>3</v>
      </c>
      <c r="J96" s="6" t="str">
        <f>_xlfn.XLOOKUP(C96,Products!A:A,Products!B:B)</f>
        <v>Office Chair</v>
      </c>
    </row>
    <row r="97" spans="1:10">
      <c r="A97">
        <v>1096</v>
      </c>
      <c r="B97">
        <v>13</v>
      </c>
      <c r="C97">
        <v>102</v>
      </c>
      <c r="D97" s="5">
        <v>45898</v>
      </c>
      <c r="E97">
        <v>2</v>
      </c>
      <c r="F97">
        <f>_xlfn.XLOOKUP(C97,Products!A:A,Products!D:D)</f>
        <v>1200</v>
      </c>
      <c r="G97">
        <f>Table3[[#This Row],[quantity]]*Table3[[#This Row],[Product Price]]</f>
        <v>2400</v>
      </c>
      <c r="H97" t="str">
        <f>_xlfn.XLOOKUP(C97,Products!A:A,Products!C:C)</f>
        <v>Electronics</v>
      </c>
      <c r="I97" s="6">
        <f t="shared" si="2"/>
        <v>8</v>
      </c>
      <c r="J97" s="6" t="str">
        <f>_xlfn.XLOOKUP(C97,Products!A:A,Products!B:B)</f>
        <v>Wireless Mouse</v>
      </c>
    </row>
    <row r="98" spans="1:10">
      <c r="A98">
        <v>1097</v>
      </c>
      <c r="B98">
        <v>7</v>
      </c>
      <c r="C98">
        <v>115</v>
      </c>
      <c r="D98" s="5">
        <v>45837</v>
      </c>
      <c r="E98">
        <v>3</v>
      </c>
      <c r="F98">
        <f>_xlfn.XLOOKUP(C98,Products!A:A,Products!D:D)</f>
        <v>1500</v>
      </c>
      <c r="G98">
        <f>Table3[[#This Row],[quantity]]*Table3[[#This Row],[Product Price]]</f>
        <v>4500</v>
      </c>
      <c r="H98" t="str">
        <f>_xlfn.XLOOKUP(C98,Products!A:A,Products!C:C)</f>
        <v>Accessories</v>
      </c>
      <c r="I98" s="6">
        <f t="shared" ref="I98:I129" si="3">MONTH(D98)</f>
        <v>6</v>
      </c>
      <c r="J98" s="6" t="str">
        <f>_xlfn.XLOOKUP(C98,Products!A:A,Products!B:B)</f>
        <v>Wallet</v>
      </c>
    </row>
    <row r="99" spans="1:10">
      <c r="A99">
        <v>1098</v>
      </c>
      <c r="B99">
        <v>8</v>
      </c>
      <c r="C99">
        <v>108</v>
      </c>
      <c r="D99" s="5">
        <v>45670</v>
      </c>
      <c r="E99">
        <v>2</v>
      </c>
      <c r="F99">
        <f>_xlfn.XLOOKUP(C99,Products!A:A,Products!D:D)</f>
        <v>1800</v>
      </c>
      <c r="G99">
        <f>Table3[[#This Row],[quantity]]*Table3[[#This Row],[Product Price]]</f>
        <v>3600</v>
      </c>
      <c r="H99" t="str">
        <f>_xlfn.XLOOKUP(C99,Products!A:A,Products!C:C)</f>
        <v>Electronics</v>
      </c>
      <c r="I99" s="6">
        <f t="shared" si="3"/>
        <v>1</v>
      </c>
      <c r="J99" s="6" t="str">
        <f>_xlfn.XLOOKUP(C99,Products!A:A,Products!B:B)</f>
        <v>Power Bank</v>
      </c>
    </row>
    <row r="100" spans="1:10">
      <c r="A100">
        <v>1099</v>
      </c>
      <c r="B100">
        <v>13</v>
      </c>
      <c r="C100">
        <v>111</v>
      </c>
      <c r="D100" s="5">
        <v>45800</v>
      </c>
      <c r="E100">
        <v>1</v>
      </c>
      <c r="F100">
        <f>_xlfn.XLOOKUP(C100,Products!A:A,Products!D:D)</f>
        <v>7000</v>
      </c>
      <c r="G100">
        <f>Table3[[#This Row],[quantity]]*Table3[[#This Row],[Product Price]]</f>
        <v>7000</v>
      </c>
      <c r="H100" t="str">
        <f>_xlfn.XLOOKUP(C100,Products!A:A,Products!C:C)</f>
        <v>Furniture</v>
      </c>
      <c r="I100" s="6">
        <f t="shared" si="3"/>
        <v>5</v>
      </c>
      <c r="J100" s="6" t="str">
        <f>_xlfn.XLOOKUP(C100,Products!A:A,Products!B:B)</f>
        <v>Bookshelf</v>
      </c>
    </row>
    <row r="101" spans="1:10">
      <c r="A101">
        <v>1100</v>
      </c>
      <c r="B101">
        <v>9</v>
      </c>
      <c r="C101">
        <v>112</v>
      </c>
      <c r="D101" s="5">
        <v>45986</v>
      </c>
      <c r="E101">
        <v>4</v>
      </c>
      <c r="F101">
        <f>_xlfn.XLOOKUP(C101,Products!A:A,Products!D:D)</f>
        <v>1800</v>
      </c>
      <c r="G101">
        <f>Table3[[#This Row],[quantity]]*Table3[[#This Row],[Product Price]]</f>
        <v>7200</v>
      </c>
      <c r="H101" t="str">
        <f>_xlfn.XLOOKUP(C101,Products!A:A,Products!C:C)</f>
        <v>Furniture</v>
      </c>
      <c r="I101" s="6">
        <f t="shared" si="3"/>
        <v>11</v>
      </c>
      <c r="J101" s="6" t="str">
        <f>_xlfn.XLOOKUP(C101,Products!A:A,Products!B:B)</f>
        <v>Table Lamp</v>
      </c>
    </row>
    <row r="102" spans="1:10">
      <c r="A102">
        <v>1101</v>
      </c>
      <c r="B102">
        <v>18</v>
      </c>
      <c r="C102">
        <v>111</v>
      </c>
      <c r="D102" s="5">
        <v>45672</v>
      </c>
      <c r="E102">
        <v>1</v>
      </c>
      <c r="F102">
        <f>_xlfn.XLOOKUP(C102,Products!A:A,Products!D:D)</f>
        <v>7000</v>
      </c>
      <c r="G102">
        <f>Table3[[#This Row],[quantity]]*Table3[[#This Row],[Product Price]]</f>
        <v>7000</v>
      </c>
      <c r="H102" t="str">
        <f>_xlfn.XLOOKUP(C102,Products!A:A,Products!C:C)</f>
        <v>Furniture</v>
      </c>
      <c r="I102" s="6">
        <f t="shared" si="3"/>
        <v>1</v>
      </c>
      <c r="J102" s="6" t="str">
        <f>_xlfn.XLOOKUP(C102,Products!A:A,Products!B:B)</f>
        <v>Bookshelf</v>
      </c>
    </row>
    <row r="103" spans="1:10">
      <c r="A103">
        <v>1102</v>
      </c>
      <c r="B103">
        <v>9</v>
      </c>
      <c r="C103">
        <v>106</v>
      </c>
      <c r="D103" s="5">
        <v>45955</v>
      </c>
      <c r="E103">
        <v>3</v>
      </c>
      <c r="F103">
        <f>_xlfn.XLOOKUP(C103,Products!A:A,Products!D:D)</f>
        <v>7500</v>
      </c>
      <c r="G103">
        <f>Table3[[#This Row],[quantity]]*Table3[[#This Row],[Product Price]]</f>
        <v>22500</v>
      </c>
      <c r="H103" t="str">
        <f>_xlfn.XLOOKUP(C103,Products!A:A,Products!C:C)</f>
        <v>Electronics</v>
      </c>
      <c r="I103" s="6">
        <f t="shared" si="3"/>
        <v>10</v>
      </c>
      <c r="J103" s="6" t="str">
        <f>_xlfn.XLOOKUP(C103,Products!A:A,Products!B:B)</f>
        <v>Smart Watch</v>
      </c>
    </row>
    <row r="104" spans="1:10">
      <c r="A104">
        <v>1103</v>
      </c>
      <c r="B104">
        <v>2</v>
      </c>
      <c r="C104">
        <v>104</v>
      </c>
      <c r="D104" s="5">
        <v>45963</v>
      </c>
      <c r="E104">
        <v>4</v>
      </c>
      <c r="F104">
        <f>_xlfn.XLOOKUP(C104,Products!A:A,Products!D:D)</f>
        <v>2200</v>
      </c>
      <c r="G104">
        <f>Table3[[#This Row],[quantity]]*Table3[[#This Row],[Product Price]]</f>
        <v>8800</v>
      </c>
      <c r="H104" t="str">
        <f>_xlfn.XLOOKUP(C104,Products!A:A,Products!C:C)</f>
        <v>Electronics</v>
      </c>
      <c r="I104" s="6">
        <f t="shared" si="3"/>
        <v>11</v>
      </c>
      <c r="J104" s="6" t="str">
        <f>_xlfn.XLOOKUP(C104,Products!A:A,Products!B:B)</f>
        <v>USB-C Hub</v>
      </c>
    </row>
    <row r="105" spans="1:10">
      <c r="A105">
        <v>1104</v>
      </c>
      <c r="B105">
        <v>12</v>
      </c>
      <c r="C105">
        <v>124</v>
      </c>
      <c r="D105" s="5">
        <v>45818</v>
      </c>
      <c r="E105">
        <v>4</v>
      </c>
      <c r="F105">
        <f>_xlfn.XLOOKUP(C105,Products!A:A,Products!D:D)</f>
        <v>6200</v>
      </c>
      <c r="G105">
        <f>Table3[[#This Row],[quantity]]*Table3[[#This Row],[Product Price]]</f>
        <v>24800</v>
      </c>
      <c r="H105" t="str">
        <f>_xlfn.XLOOKUP(C105,Products!A:A,Products!C:C)</f>
        <v>Home Appliances</v>
      </c>
      <c r="I105" s="6">
        <f t="shared" si="3"/>
        <v>6</v>
      </c>
      <c r="J105" s="6" t="str">
        <f>_xlfn.XLOOKUP(C105,Products!A:A,Products!B:B)</f>
        <v>Air Fryer</v>
      </c>
    </row>
    <row r="106" spans="1:10">
      <c r="A106">
        <v>1105</v>
      </c>
      <c r="B106">
        <v>20</v>
      </c>
      <c r="C106">
        <v>117</v>
      </c>
      <c r="D106" s="5">
        <v>45717</v>
      </c>
      <c r="E106">
        <v>4</v>
      </c>
      <c r="F106">
        <f>_xlfn.XLOOKUP(C106,Products!A:A,Products!D:D)</f>
        <v>1200</v>
      </c>
      <c r="G106">
        <f>Table3[[#This Row],[quantity]]*Table3[[#This Row],[Product Price]]</f>
        <v>4800</v>
      </c>
      <c r="H106" t="str">
        <f>_xlfn.XLOOKUP(C106,Products!A:A,Products!C:C)</f>
        <v>Sports</v>
      </c>
      <c r="I106" s="6">
        <f t="shared" si="3"/>
        <v>3</v>
      </c>
      <c r="J106" s="6" t="str">
        <f>_xlfn.XLOOKUP(C106,Products!A:A,Products!B:B)</f>
        <v>Yoga Mat</v>
      </c>
    </row>
    <row r="107" spans="1:10">
      <c r="A107">
        <v>1106</v>
      </c>
      <c r="B107">
        <v>19</v>
      </c>
      <c r="C107">
        <v>107</v>
      </c>
      <c r="D107" s="5">
        <v>45788</v>
      </c>
      <c r="E107">
        <v>1</v>
      </c>
      <c r="F107">
        <f>_xlfn.XLOOKUP(C107,Products!A:A,Products!D:D)</f>
        <v>900</v>
      </c>
      <c r="G107">
        <f>Table3[[#This Row],[quantity]]*Table3[[#This Row],[Product Price]]</f>
        <v>900</v>
      </c>
      <c r="H107" t="str">
        <f>_xlfn.XLOOKUP(C107,Products!A:A,Products!C:C)</f>
        <v>Electronics</v>
      </c>
      <c r="I107" s="6">
        <f t="shared" si="3"/>
        <v>5</v>
      </c>
      <c r="J107" s="6" t="str">
        <f>_xlfn.XLOOKUP(C107,Products!A:A,Products!B:B)</f>
        <v>Phone Stand</v>
      </c>
    </row>
    <row r="108" spans="1:10">
      <c r="A108">
        <v>1107</v>
      </c>
      <c r="B108">
        <v>14</v>
      </c>
      <c r="C108">
        <v>101</v>
      </c>
      <c r="D108" s="5">
        <v>45924</v>
      </c>
      <c r="E108">
        <v>2</v>
      </c>
      <c r="F108">
        <f>_xlfn.XLOOKUP(C108,Products!A:A,Products!D:D)</f>
        <v>65000</v>
      </c>
      <c r="G108">
        <f>Table3[[#This Row],[quantity]]*Table3[[#This Row],[Product Price]]</f>
        <v>130000</v>
      </c>
      <c r="H108" t="str">
        <f>_xlfn.XLOOKUP(C108,Products!A:A,Products!C:C)</f>
        <v>Electronics</v>
      </c>
      <c r="I108" s="6">
        <f t="shared" si="3"/>
        <v>9</v>
      </c>
      <c r="J108" s="6" t="str">
        <f>_xlfn.XLOOKUP(C108,Products!A:A,Products!B:B)</f>
        <v>Laptop Pro 14</v>
      </c>
    </row>
    <row r="109" spans="1:10">
      <c r="A109">
        <v>1108</v>
      </c>
      <c r="B109">
        <v>12</v>
      </c>
      <c r="C109">
        <v>114</v>
      </c>
      <c r="D109" s="5">
        <v>45693</v>
      </c>
      <c r="E109">
        <v>3</v>
      </c>
      <c r="F109">
        <f>_xlfn.XLOOKUP(C109,Products!A:A,Products!D:D)</f>
        <v>3200</v>
      </c>
      <c r="G109">
        <f>Table3[[#This Row],[quantity]]*Table3[[#This Row],[Product Price]]</f>
        <v>9600</v>
      </c>
      <c r="H109" t="str">
        <f>_xlfn.XLOOKUP(C109,Products!A:A,Products!C:C)</f>
        <v>Accessories</v>
      </c>
      <c r="I109" s="6">
        <f t="shared" si="3"/>
        <v>2</v>
      </c>
      <c r="J109" s="6" t="str">
        <f>_xlfn.XLOOKUP(C109,Products!A:A,Products!B:B)</f>
        <v>Travel Bag</v>
      </c>
    </row>
    <row r="110" spans="1:10">
      <c r="A110">
        <v>1109</v>
      </c>
      <c r="B110">
        <v>20</v>
      </c>
      <c r="C110">
        <v>111</v>
      </c>
      <c r="D110" s="5">
        <v>45997</v>
      </c>
      <c r="E110">
        <v>1</v>
      </c>
      <c r="F110">
        <f>_xlfn.XLOOKUP(C110,Products!A:A,Products!D:D)</f>
        <v>7000</v>
      </c>
      <c r="G110">
        <f>Table3[[#This Row],[quantity]]*Table3[[#This Row],[Product Price]]</f>
        <v>7000</v>
      </c>
      <c r="H110" t="str">
        <f>_xlfn.XLOOKUP(C110,Products!A:A,Products!C:C)</f>
        <v>Furniture</v>
      </c>
      <c r="I110" s="6">
        <f t="shared" si="3"/>
        <v>12</v>
      </c>
      <c r="J110" s="6" t="str">
        <f>_xlfn.XLOOKUP(C110,Products!A:A,Products!B:B)</f>
        <v>Bookshelf</v>
      </c>
    </row>
    <row r="111" spans="1:10">
      <c r="A111">
        <v>1110</v>
      </c>
      <c r="B111">
        <v>10</v>
      </c>
      <c r="C111">
        <v>117</v>
      </c>
      <c r="D111" s="5">
        <v>45816</v>
      </c>
      <c r="E111">
        <v>4</v>
      </c>
      <c r="F111">
        <f>_xlfn.XLOOKUP(C111,Products!A:A,Products!D:D)</f>
        <v>1200</v>
      </c>
      <c r="G111">
        <f>Table3[[#This Row],[quantity]]*Table3[[#This Row],[Product Price]]</f>
        <v>4800</v>
      </c>
      <c r="H111" t="str">
        <f>_xlfn.XLOOKUP(C111,Products!A:A,Products!C:C)</f>
        <v>Sports</v>
      </c>
      <c r="I111" s="6">
        <f t="shared" si="3"/>
        <v>6</v>
      </c>
      <c r="J111" s="6" t="str">
        <f>_xlfn.XLOOKUP(C111,Products!A:A,Products!B:B)</f>
        <v>Yoga Mat</v>
      </c>
    </row>
    <row r="112" spans="1:10">
      <c r="A112">
        <v>1111</v>
      </c>
      <c r="B112">
        <v>11</v>
      </c>
      <c r="C112">
        <v>113</v>
      </c>
      <c r="D112" s="5">
        <v>46014</v>
      </c>
      <c r="E112">
        <v>3</v>
      </c>
      <c r="F112">
        <f>_xlfn.XLOOKUP(C112,Products!A:A,Products!D:D)</f>
        <v>2200</v>
      </c>
      <c r="G112">
        <f>Table3[[#This Row],[quantity]]*Table3[[#This Row],[Product Price]]</f>
        <v>6600</v>
      </c>
      <c r="H112" t="str">
        <f>_xlfn.XLOOKUP(C112,Products!A:A,Products!C:C)</f>
        <v>Accessories</v>
      </c>
      <c r="I112" s="6">
        <f t="shared" si="3"/>
        <v>12</v>
      </c>
      <c r="J112" s="6" t="str">
        <f>_xlfn.XLOOKUP(C112,Products!A:A,Products!B:B)</f>
        <v>Backpack</v>
      </c>
    </row>
    <row r="113" spans="1:10">
      <c r="A113">
        <v>1112</v>
      </c>
      <c r="B113">
        <v>18</v>
      </c>
      <c r="C113">
        <v>105</v>
      </c>
      <c r="D113" s="5">
        <v>45756</v>
      </c>
      <c r="E113">
        <v>4</v>
      </c>
      <c r="F113">
        <f>_xlfn.XLOOKUP(C113,Products!A:A,Products!D:D)</f>
        <v>4500</v>
      </c>
      <c r="G113">
        <f>Table3[[#This Row],[quantity]]*Table3[[#This Row],[Product Price]]</f>
        <v>18000</v>
      </c>
      <c r="H113" t="str">
        <f>_xlfn.XLOOKUP(C113,Products!A:A,Products!C:C)</f>
        <v>Electronics</v>
      </c>
      <c r="I113" s="6">
        <f t="shared" si="3"/>
        <v>4</v>
      </c>
      <c r="J113" s="6" t="str">
        <f>_xlfn.XLOOKUP(C113,Products!A:A,Products!B:B)</f>
        <v>Bluetooth Headphones</v>
      </c>
    </row>
    <row r="114" spans="1:10">
      <c r="A114">
        <v>1113</v>
      </c>
      <c r="B114">
        <v>13</v>
      </c>
      <c r="C114">
        <v>122</v>
      </c>
      <c r="D114" s="5">
        <v>45747</v>
      </c>
      <c r="E114">
        <v>3</v>
      </c>
      <c r="F114">
        <f>_xlfn.XLOOKUP(C114,Products!A:A,Products!D:D)</f>
        <v>3500</v>
      </c>
      <c r="G114">
        <f>Table3[[#This Row],[quantity]]*Table3[[#This Row],[Product Price]]</f>
        <v>10500</v>
      </c>
      <c r="H114" t="str">
        <f>_xlfn.XLOOKUP(C114,Products!A:A,Products!C:C)</f>
        <v>Clothing</v>
      </c>
      <c r="I114" s="6">
        <f t="shared" si="3"/>
        <v>3</v>
      </c>
      <c r="J114" s="6" t="str">
        <f>_xlfn.XLOOKUP(C114,Products!A:A,Products!B:B)</f>
        <v>Jacket</v>
      </c>
    </row>
    <row r="115" spans="1:10">
      <c r="A115">
        <v>1114</v>
      </c>
      <c r="B115">
        <v>13</v>
      </c>
      <c r="C115">
        <v>118</v>
      </c>
      <c r="D115" s="5">
        <v>45658</v>
      </c>
      <c r="E115">
        <v>3</v>
      </c>
      <c r="F115">
        <f>_xlfn.XLOOKUP(C115,Products!A:A,Products!D:D)</f>
        <v>2500</v>
      </c>
      <c r="G115">
        <f>Table3[[#This Row],[quantity]]*Table3[[#This Row],[Product Price]]</f>
        <v>7500</v>
      </c>
      <c r="H115" t="str">
        <f>_xlfn.XLOOKUP(C115,Products!A:A,Products!C:C)</f>
        <v>Sports</v>
      </c>
      <c r="I115" s="6">
        <f t="shared" si="3"/>
        <v>1</v>
      </c>
      <c r="J115" s="6" t="str">
        <f>_xlfn.XLOOKUP(C115,Products!A:A,Products!B:B)</f>
        <v>Dumbbells</v>
      </c>
    </row>
    <row r="116" spans="1:10">
      <c r="A116">
        <v>1115</v>
      </c>
      <c r="B116">
        <v>10</v>
      </c>
      <c r="C116">
        <v>107</v>
      </c>
      <c r="D116" s="5">
        <v>45878</v>
      </c>
      <c r="E116">
        <v>3</v>
      </c>
      <c r="F116">
        <f>_xlfn.XLOOKUP(C116,Products!A:A,Products!D:D)</f>
        <v>900</v>
      </c>
      <c r="G116">
        <f>Table3[[#This Row],[quantity]]*Table3[[#This Row],[Product Price]]</f>
        <v>2700</v>
      </c>
      <c r="H116" t="str">
        <f>_xlfn.XLOOKUP(C116,Products!A:A,Products!C:C)</f>
        <v>Electronics</v>
      </c>
      <c r="I116" s="6">
        <f t="shared" si="3"/>
        <v>8</v>
      </c>
      <c r="J116" s="6" t="str">
        <f>_xlfn.XLOOKUP(C116,Products!A:A,Products!B:B)</f>
        <v>Phone Stand</v>
      </c>
    </row>
    <row r="117" spans="1:10">
      <c r="A117">
        <v>1116</v>
      </c>
      <c r="B117">
        <v>15</v>
      </c>
      <c r="C117">
        <v>115</v>
      </c>
      <c r="D117" s="5">
        <v>45884</v>
      </c>
      <c r="E117">
        <v>2</v>
      </c>
      <c r="F117">
        <f>_xlfn.XLOOKUP(C117,Products!A:A,Products!D:D)</f>
        <v>1500</v>
      </c>
      <c r="G117">
        <f>Table3[[#This Row],[quantity]]*Table3[[#This Row],[Product Price]]</f>
        <v>3000</v>
      </c>
      <c r="H117" t="str">
        <f>_xlfn.XLOOKUP(C117,Products!A:A,Products!C:C)</f>
        <v>Accessories</v>
      </c>
      <c r="I117" s="6">
        <f t="shared" si="3"/>
        <v>8</v>
      </c>
      <c r="J117" s="6" t="str">
        <f>_xlfn.XLOOKUP(C117,Products!A:A,Products!B:B)</f>
        <v>Wallet</v>
      </c>
    </row>
    <row r="118" spans="1:10">
      <c r="A118">
        <v>1117</v>
      </c>
      <c r="B118">
        <v>17</v>
      </c>
      <c r="C118">
        <v>116</v>
      </c>
      <c r="D118" s="5">
        <v>45744</v>
      </c>
      <c r="E118">
        <v>1</v>
      </c>
      <c r="F118">
        <f>_xlfn.XLOOKUP(C118,Products!A:A,Products!D:D)</f>
        <v>4800</v>
      </c>
      <c r="G118">
        <f>Table3[[#This Row],[quantity]]*Table3[[#This Row],[Product Price]]</f>
        <v>4800</v>
      </c>
      <c r="H118" t="str">
        <f>_xlfn.XLOOKUP(C118,Products!A:A,Products!C:C)</f>
        <v>Sports</v>
      </c>
      <c r="I118" s="6">
        <f t="shared" si="3"/>
        <v>3</v>
      </c>
      <c r="J118" s="6" t="str">
        <f>_xlfn.XLOOKUP(C118,Products!A:A,Products!B:B)</f>
        <v>Running Shoes</v>
      </c>
    </row>
    <row r="119" spans="1:10">
      <c r="A119">
        <v>1118</v>
      </c>
      <c r="B119">
        <v>10</v>
      </c>
      <c r="C119">
        <v>117</v>
      </c>
      <c r="D119" s="5">
        <v>45997</v>
      </c>
      <c r="E119">
        <v>3</v>
      </c>
      <c r="F119">
        <f>_xlfn.XLOOKUP(C119,Products!A:A,Products!D:D)</f>
        <v>1200</v>
      </c>
      <c r="G119">
        <f>Table3[[#This Row],[quantity]]*Table3[[#This Row],[Product Price]]</f>
        <v>3600</v>
      </c>
      <c r="H119" t="str">
        <f>_xlfn.XLOOKUP(C119,Products!A:A,Products!C:C)</f>
        <v>Sports</v>
      </c>
      <c r="I119" s="6">
        <f t="shared" si="3"/>
        <v>12</v>
      </c>
      <c r="J119" s="6" t="str">
        <f>_xlfn.XLOOKUP(C119,Products!A:A,Products!B:B)</f>
        <v>Yoga Mat</v>
      </c>
    </row>
    <row r="120" spans="1:10">
      <c r="A120">
        <v>1119</v>
      </c>
      <c r="B120">
        <v>3</v>
      </c>
      <c r="C120">
        <v>125</v>
      </c>
      <c r="D120" s="5">
        <v>45778</v>
      </c>
      <c r="E120">
        <v>3</v>
      </c>
      <c r="F120">
        <f>_xlfn.XLOOKUP(C120,Products!A:A,Products!D:D)</f>
        <v>1800</v>
      </c>
      <c r="G120">
        <f>Table3[[#This Row],[quantity]]*Table3[[#This Row],[Product Price]]</f>
        <v>5400</v>
      </c>
      <c r="H120" t="str">
        <f>_xlfn.XLOOKUP(C120,Products!A:A,Products!C:C)</f>
        <v>Home Appliances</v>
      </c>
      <c r="I120" s="6">
        <f t="shared" si="3"/>
        <v>5</v>
      </c>
      <c r="J120" s="6" t="str">
        <f>_xlfn.XLOOKUP(C120,Products!A:A,Products!B:B)</f>
        <v>Electric Kettle</v>
      </c>
    </row>
    <row r="121" spans="1:10">
      <c r="A121">
        <v>1120</v>
      </c>
      <c r="B121">
        <v>8</v>
      </c>
      <c r="C121">
        <v>107</v>
      </c>
      <c r="D121" s="5">
        <v>45733</v>
      </c>
      <c r="E121">
        <v>1</v>
      </c>
      <c r="F121">
        <f>_xlfn.XLOOKUP(C121,Products!A:A,Products!D:D)</f>
        <v>900</v>
      </c>
      <c r="G121">
        <f>Table3[[#This Row],[quantity]]*Table3[[#This Row],[Product Price]]</f>
        <v>900</v>
      </c>
      <c r="H121" t="str">
        <f>_xlfn.XLOOKUP(C121,Products!A:A,Products!C:C)</f>
        <v>Electronics</v>
      </c>
      <c r="I121" s="6">
        <f t="shared" si="3"/>
        <v>3</v>
      </c>
      <c r="J121" s="6" t="str">
        <f>_xlfn.XLOOKUP(C121,Products!A:A,Products!B:B)</f>
        <v>Phone Stand</v>
      </c>
    </row>
    <row r="122" spans="1:10">
      <c r="A122">
        <v>1121</v>
      </c>
      <c r="B122">
        <v>2</v>
      </c>
      <c r="C122">
        <v>108</v>
      </c>
      <c r="D122" s="5">
        <v>45901</v>
      </c>
      <c r="E122">
        <v>1</v>
      </c>
      <c r="F122">
        <f>_xlfn.XLOOKUP(C122,Products!A:A,Products!D:D)</f>
        <v>1800</v>
      </c>
      <c r="G122">
        <f>Table3[[#This Row],[quantity]]*Table3[[#This Row],[Product Price]]</f>
        <v>1800</v>
      </c>
      <c r="H122" t="str">
        <f>_xlfn.XLOOKUP(C122,Products!A:A,Products!C:C)</f>
        <v>Electronics</v>
      </c>
      <c r="I122" s="6">
        <f t="shared" si="3"/>
        <v>9</v>
      </c>
      <c r="J122" s="6" t="str">
        <f>_xlfn.XLOOKUP(C122,Products!A:A,Products!B:B)</f>
        <v>Power Bank</v>
      </c>
    </row>
    <row r="123" spans="1:10">
      <c r="A123">
        <v>1122</v>
      </c>
      <c r="B123">
        <v>15</v>
      </c>
      <c r="C123">
        <v>114</v>
      </c>
      <c r="D123" s="5">
        <v>45980</v>
      </c>
      <c r="E123">
        <v>2</v>
      </c>
      <c r="F123">
        <f>_xlfn.XLOOKUP(C123,Products!A:A,Products!D:D)</f>
        <v>3200</v>
      </c>
      <c r="G123">
        <f>Table3[[#This Row],[quantity]]*Table3[[#This Row],[Product Price]]</f>
        <v>6400</v>
      </c>
      <c r="H123" t="str">
        <f>_xlfn.XLOOKUP(C123,Products!A:A,Products!C:C)</f>
        <v>Accessories</v>
      </c>
      <c r="I123" s="6">
        <f t="shared" si="3"/>
        <v>11</v>
      </c>
      <c r="J123" s="6" t="str">
        <f>_xlfn.XLOOKUP(C123,Products!A:A,Products!B:B)</f>
        <v>Travel Bag</v>
      </c>
    </row>
    <row r="124" spans="1:10">
      <c r="A124">
        <v>1123</v>
      </c>
      <c r="B124">
        <v>13</v>
      </c>
      <c r="C124">
        <v>116</v>
      </c>
      <c r="D124" s="5">
        <v>45862</v>
      </c>
      <c r="E124">
        <v>2</v>
      </c>
      <c r="F124">
        <f>_xlfn.XLOOKUP(C124,Products!A:A,Products!D:D)</f>
        <v>4800</v>
      </c>
      <c r="G124">
        <f>Table3[[#This Row],[quantity]]*Table3[[#This Row],[Product Price]]</f>
        <v>9600</v>
      </c>
      <c r="H124" t="str">
        <f>_xlfn.XLOOKUP(C124,Products!A:A,Products!C:C)</f>
        <v>Sports</v>
      </c>
      <c r="I124" s="6">
        <f t="shared" si="3"/>
        <v>7</v>
      </c>
      <c r="J124" s="6" t="str">
        <f>_xlfn.XLOOKUP(C124,Products!A:A,Products!B:B)</f>
        <v>Running Shoes</v>
      </c>
    </row>
    <row r="125" spans="1:10">
      <c r="A125">
        <v>1124</v>
      </c>
      <c r="B125">
        <v>5</v>
      </c>
      <c r="C125">
        <v>121</v>
      </c>
      <c r="D125" s="5">
        <v>46010</v>
      </c>
      <c r="E125">
        <v>1</v>
      </c>
      <c r="F125">
        <f>_xlfn.XLOOKUP(C125,Products!A:A,Products!D:D)</f>
        <v>1800</v>
      </c>
      <c r="G125">
        <f>Table3[[#This Row],[quantity]]*Table3[[#This Row],[Product Price]]</f>
        <v>1800</v>
      </c>
      <c r="H125" t="str">
        <f>_xlfn.XLOOKUP(C125,Products!A:A,Products!C:C)</f>
        <v>Clothing</v>
      </c>
      <c r="I125" s="6">
        <f t="shared" si="3"/>
        <v>12</v>
      </c>
      <c r="J125" s="6" t="str">
        <f>_xlfn.XLOOKUP(C125,Products!A:A,Products!B:B)</f>
        <v>Hoodie</v>
      </c>
    </row>
    <row r="126" spans="1:10">
      <c r="A126">
        <v>1125</v>
      </c>
      <c r="B126">
        <v>4</v>
      </c>
      <c r="C126">
        <v>125</v>
      </c>
      <c r="D126" s="5">
        <v>45875</v>
      </c>
      <c r="E126">
        <v>2</v>
      </c>
      <c r="F126">
        <f>_xlfn.XLOOKUP(C126,Products!A:A,Products!D:D)</f>
        <v>1800</v>
      </c>
      <c r="G126">
        <f>Table3[[#This Row],[quantity]]*Table3[[#This Row],[Product Price]]</f>
        <v>3600</v>
      </c>
      <c r="H126" t="str">
        <f>_xlfn.XLOOKUP(C126,Products!A:A,Products!C:C)</f>
        <v>Home Appliances</v>
      </c>
      <c r="I126" s="6">
        <f t="shared" si="3"/>
        <v>8</v>
      </c>
      <c r="J126" s="6" t="str">
        <f>_xlfn.XLOOKUP(C126,Products!A:A,Products!B:B)</f>
        <v>Electric Kettle</v>
      </c>
    </row>
    <row r="127" spans="1:10">
      <c r="A127">
        <v>1126</v>
      </c>
      <c r="B127">
        <v>6</v>
      </c>
      <c r="C127">
        <v>123</v>
      </c>
      <c r="D127" s="5">
        <v>45923</v>
      </c>
      <c r="E127">
        <v>4</v>
      </c>
      <c r="F127">
        <f>_xlfn.XLOOKUP(C127,Products!A:A,Products!D:D)</f>
        <v>5500</v>
      </c>
      <c r="G127">
        <f>Table3[[#This Row],[quantity]]*Table3[[#This Row],[Product Price]]</f>
        <v>22000</v>
      </c>
      <c r="H127" t="str">
        <f>_xlfn.XLOOKUP(C127,Products!A:A,Products!C:C)</f>
        <v>Home Appliances</v>
      </c>
      <c r="I127" s="6">
        <f t="shared" si="3"/>
        <v>9</v>
      </c>
      <c r="J127" s="6" t="str">
        <f>_xlfn.XLOOKUP(C127,Products!A:A,Products!B:B)</f>
        <v>Coffee Maker</v>
      </c>
    </row>
    <row r="128" spans="1:10">
      <c r="A128">
        <v>1127</v>
      </c>
      <c r="B128">
        <v>2</v>
      </c>
      <c r="C128">
        <v>118</v>
      </c>
      <c r="D128" s="5">
        <v>45785</v>
      </c>
      <c r="E128">
        <v>1</v>
      </c>
      <c r="F128">
        <f>_xlfn.XLOOKUP(C128,Products!A:A,Products!D:D)</f>
        <v>2500</v>
      </c>
      <c r="G128">
        <f>Table3[[#This Row],[quantity]]*Table3[[#This Row],[Product Price]]</f>
        <v>2500</v>
      </c>
      <c r="H128" t="str">
        <f>_xlfn.XLOOKUP(C128,Products!A:A,Products!C:C)</f>
        <v>Sports</v>
      </c>
      <c r="I128" s="6">
        <f t="shared" si="3"/>
        <v>5</v>
      </c>
      <c r="J128" s="6" t="str">
        <f>_xlfn.XLOOKUP(C128,Products!A:A,Products!B:B)</f>
        <v>Dumbbells</v>
      </c>
    </row>
    <row r="129" spans="1:10">
      <c r="A129">
        <v>1128</v>
      </c>
      <c r="B129">
        <v>15</v>
      </c>
      <c r="C129">
        <v>105</v>
      </c>
      <c r="D129" s="5">
        <v>45895</v>
      </c>
      <c r="E129">
        <v>3</v>
      </c>
      <c r="F129">
        <f>_xlfn.XLOOKUP(C129,Products!A:A,Products!D:D)</f>
        <v>4500</v>
      </c>
      <c r="G129">
        <f>Table3[[#This Row],[quantity]]*Table3[[#This Row],[Product Price]]</f>
        <v>13500</v>
      </c>
      <c r="H129" t="str">
        <f>_xlfn.XLOOKUP(C129,Products!A:A,Products!C:C)</f>
        <v>Electronics</v>
      </c>
      <c r="I129" s="6">
        <f t="shared" si="3"/>
        <v>8</v>
      </c>
      <c r="J129" s="6" t="str">
        <f>_xlfn.XLOOKUP(C129,Products!A:A,Products!B:B)</f>
        <v>Bluetooth Headphones</v>
      </c>
    </row>
    <row r="130" spans="1:10">
      <c r="A130">
        <v>1129</v>
      </c>
      <c r="B130">
        <v>15</v>
      </c>
      <c r="C130">
        <v>120</v>
      </c>
      <c r="D130" s="5">
        <v>45916</v>
      </c>
      <c r="E130">
        <v>4</v>
      </c>
      <c r="F130">
        <f>_xlfn.XLOOKUP(C130,Products!A:A,Products!D:D)</f>
        <v>2200</v>
      </c>
      <c r="G130">
        <f>Table3[[#This Row],[quantity]]*Table3[[#This Row],[Product Price]]</f>
        <v>8800</v>
      </c>
      <c r="H130" t="str">
        <f>_xlfn.XLOOKUP(C130,Products!A:A,Products!C:C)</f>
        <v>Clothing</v>
      </c>
      <c r="I130" s="6">
        <f t="shared" ref="I130:I151" si="4">MONTH(D130)</f>
        <v>9</v>
      </c>
      <c r="J130" s="6" t="str">
        <f>_xlfn.XLOOKUP(C130,Products!A:A,Products!B:B)</f>
        <v>Jeans</v>
      </c>
    </row>
    <row r="131" spans="1:10">
      <c r="A131">
        <v>1130</v>
      </c>
      <c r="B131">
        <v>18</v>
      </c>
      <c r="C131">
        <v>115</v>
      </c>
      <c r="D131" s="5">
        <v>45739</v>
      </c>
      <c r="E131">
        <v>4</v>
      </c>
      <c r="F131">
        <f>_xlfn.XLOOKUP(C131,Products!A:A,Products!D:D)</f>
        <v>1500</v>
      </c>
      <c r="G131">
        <f>Table3[[#This Row],[quantity]]*Table3[[#This Row],[Product Price]]</f>
        <v>6000</v>
      </c>
      <c r="H131" t="str">
        <f>_xlfn.XLOOKUP(C131,Products!A:A,Products!C:C)</f>
        <v>Accessories</v>
      </c>
      <c r="I131" s="6">
        <f t="shared" si="4"/>
        <v>3</v>
      </c>
      <c r="J131" s="6" t="str">
        <f>_xlfn.XLOOKUP(C131,Products!A:A,Products!B:B)</f>
        <v>Wallet</v>
      </c>
    </row>
    <row r="132" spans="1:10">
      <c r="A132">
        <v>1131</v>
      </c>
      <c r="B132">
        <v>15</v>
      </c>
      <c r="C132">
        <v>109</v>
      </c>
      <c r="D132" s="5">
        <v>45784</v>
      </c>
      <c r="E132">
        <v>3</v>
      </c>
      <c r="F132">
        <f>_xlfn.XLOOKUP(C132,Products!A:A,Products!D:D)</f>
        <v>12000</v>
      </c>
      <c r="G132">
        <f>Table3[[#This Row],[quantity]]*Table3[[#This Row],[Product Price]]</f>
        <v>36000</v>
      </c>
      <c r="H132" t="str">
        <f>_xlfn.XLOOKUP(C132,Products!A:A,Products!C:C)</f>
        <v>Furniture</v>
      </c>
      <c r="I132" s="6">
        <f t="shared" si="4"/>
        <v>5</v>
      </c>
      <c r="J132" s="6" t="str">
        <f>_xlfn.XLOOKUP(C132,Products!A:A,Products!B:B)</f>
        <v>Office Chair</v>
      </c>
    </row>
    <row r="133" spans="1:10">
      <c r="A133">
        <v>1132</v>
      </c>
      <c r="B133">
        <v>17</v>
      </c>
      <c r="C133">
        <v>116</v>
      </c>
      <c r="D133" s="5">
        <v>45978</v>
      </c>
      <c r="E133">
        <v>2</v>
      </c>
      <c r="F133">
        <f>_xlfn.XLOOKUP(C133,Products!A:A,Products!D:D)</f>
        <v>4800</v>
      </c>
      <c r="G133">
        <f>Table3[[#This Row],[quantity]]*Table3[[#This Row],[Product Price]]</f>
        <v>9600</v>
      </c>
      <c r="H133" t="str">
        <f>_xlfn.XLOOKUP(C133,Products!A:A,Products!C:C)</f>
        <v>Sports</v>
      </c>
      <c r="I133" s="6">
        <f t="shared" si="4"/>
        <v>11</v>
      </c>
      <c r="J133" s="6" t="str">
        <f>_xlfn.XLOOKUP(C133,Products!A:A,Products!B:B)</f>
        <v>Running Shoes</v>
      </c>
    </row>
    <row r="134" spans="1:10">
      <c r="A134">
        <v>1133</v>
      </c>
      <c r="B134">
        <v>9</v>
      </c>
      <c r="C134">
        <v>115</v>
      </c>
      <c r="D134" s="5">
        <v>45697</v>
      </c>
      <c r="E134">
        <v>3</v>
      </c>
      <c r="F134">
        <f>_xlfn.XLOOKUP(C134,Products!A:A,Products!D:D)</f>
        <v>1500</v>
      </c>
      <c r="G134">
        <f>Table3[[#This Row],[quantity]]*Table3[[#This Row],[Product Price]]</f>
        <v>4500</v>
      </c>
      <c r="H134" t="str">
        <f>_xlfn.XLOOKUP(C134,Products!A:A,Products!C:C)</f>
        <v>Accessories</v>
      </c>
      <c r="I134" s="6">
        <f t="shared" si="4"/>
        <v>2</v>
      </c>
      <c r="J134" s="6" t="str">
        <f>_xlfn.XLOOKUP(C134,Products!A:A,Products!B:B)</f>
        <v>Wallet</v>
      </c>
    </row>
    <row r="135" spans="1:10">
      <c r="A135">
        <v>1134</v>
      </c>
      <c r="B135">
        <v>8</v>
      </c>
      <c r="C135">
        <v>109</v>
      </c>
      <c r="D135" s="5">
        <v>45829</v>
      </c>
      <c r="E135">
        <v>3</v>
      </c>
      <c r="F135">
        <f>_xlfn.XLOOKUP(C135,Products!A:A,Products!D:D)</f>
        <v>12000</v>
      </c>
      <c r="G135">
        <f>Table3[[#This Row],[quantity]]*Table3[[#This Row],[Product Price]]</f>
        <v>36000</v>
      </c>
      <c r="H135" t="str">
        <f>_xlfn.XLOOKUP(C135,Products!A:A,Products!C:C)</f>
        <v>Furniture</v>
      </c>
      <c r="I135" s="6">
        <f t="shared" si="4"/>
        <v>6</v>
      </c>
      <c r="J135" s="6" t="str">
        <f>_xlfn.XLOOKUP(C135,Products!A:A,Products!B:B)</f>
        <v>Office Chair</v>
      </c>
    </row>
    <row r="136" spans="1:10">
      <c r="A136">
        <v>1135</v>
      </c>
      <c r="B136">
        <v>18</v>
      </c>
      <c r="C136">
        <v>103</v>
      </c>
      <c r="D136" s="5">
        <v>45728</v>
      </c>
      <c r="E136">
        <v>2</v>
      </c>
      <c r="F136">
        <f>_xlfn.XLOOKUP(C136,Products!A:A,Products!D:D)</f>
        <v>3500</v>
      </c>
      <c r="G136">
        <f>Table3[[#This Row],[quantity]]*Table3[[#This Row],[Product Price]]</f>
        <v>7000</v>
      </c>
      <c r="H136" t="str">
        <f>_xlfn.XLOOKUP(C136,Products!A:A,Products!C:C)</f>
        <v>Electronics</v>
      </c>
      <c r="I136" s="6">
        <f t="shared" si="4"/>
        <v>3</v>
      </c>
      <c r="J136" s="6" t="str">
        <f>_xlfn.XLOOKUP(C136,Products!A:A,Products!B:B)</f>
        <v>Mechanical Keyboard</v>
      </c>
    </row>
    <row r="137" spans="1:10">
      <c r="A137">
        <v>1136</v>
      </c>
      <c r="B137">
        <v>8</v>
      </c>
      <c r="C137">
        <v>113</v>
      </c>
      <c r="D137" s="5">
        <v>46013</v>
      </c>
      <c r="E137">
        <v>2</v>
      </c>
      <c r="F137">
        <f>_xlfn.XLOOKUP(C137,Products!A:A,Products!D:D)</f>
        <v>2200</v>
      </c>
      <c r="G137">
        <f>Table3[[#This Row],[quantity]]*Table3[[#This Row],[Product Price]]</f>
        <v>4400</v>
      </c>
      <c r="H137" t="str">
        <f>_xlfn.XLOOKUP(C137,Products!A:A,Products!C:C)</f>
        <v>Accessories</v>
      </c>
      <c r="I137" s="6">
        <f t="shared" si="4"/>
        <v>12</v>
      </c>
      <c r="J137" s="6" t="str">
        <f>_xlfn.XLOOKUP(C137,Products!A:A,Products!B:B)</f>
        <v>Backpack</v>
      </c>
    </row>
    <row r="138" spans="1:10">
      <c r="A138">
        <v>1137</v>
      </c>
      <c r="B138">
        <v>7</v>
      </c>
      <c r="C138">
        <v>103</v>
      </c>
      <c r="D138" s="5">
        <v>45870</v>
      </c>
      <c r="E138">
        <v>4</v>
      </c>
      <c r="F138">
        <f>_xlfn.XLOOKUP(C138,Products!A:A,Products!D:D)</f>
        <v>3500</v>
      </c>
      <c r="G138">
        <f>Table3[[#This Row],[quantity]]*Table3[[#This Row],[Product Price]]</f>
        <v>14000</v>
      </c>
      <c r="H138" t="str">
        <f>_xlfn.XLOOKUP(C138,Products!A:A,Products!C:C)</f>
        <v>Electronics</v>
      </c>
      <c r="I138" s="6">
        <f t="shared" si="4"/>
        <v>8</v>
      </c>
      <c r="J138" s="6" t="str">
        <f>_xlfn.XLOOKUP(C138,Products!A:A,Products!B:B)</f>
        <v>Mechanical Keyboard</v>
      </c>
    </row>
    <row r="139" spans="1:10">
      <c r="A139">
        <v>1138</v>
      </c>
      <c r="B139">
        <v>11</v>
      </c>
      <c r="C139">
        <v>118</v>
      </c>
      <c r="D139" s="5">
        <v>45896</v>
      </c>
      <c r="E139">
        <v>4</v>
      </c>
      <c r="F139">
        <f>_xlfn.XLOOKUP(C139,Products!A:A,Products!D:D)</f>
        <v>2500</v>
      </c>
      <c r="G139">
        <f>Table3[[#This Row],[quantity]]*Table3[[#This Row],[Product Price]]</f>
        <v>10000</v>
      </c>
      <c r="H139" t="str">
        <f>_xlfn.XLOOKUP(C139,Products!A:A,Products!C:C)</f>
        <v>Sports</v>
      </c>
      <c r="I139" s="6">
        <f t="shared" si="4"/>
        <v>8</v>
      </c>
      <c r="J139" s="6" t="str">
        <f>_xlfn.XLOOKUP(C139,Products!A:A,Products!B:B)</f>
        <v>Dumbbells</v>
      </c>
    </row>
    <row r="140" spans="1:10">
      <c r="A140">
        <v>1139</v>
      </c>
      <c r="B140">
        <v>2</v>
      </c>
      <c r="C140">
        <v>107</v>
      </c>
      <c r="D140" s="5">
        <v>45873</v>
      </c>
      <c r="E140">
        <v>4</v>
      </c>
      <c r="F140">
        <f>_xlfn.XLOOKUP(C140,Products!A:A,Products!D:D)</f>
        <v>900</v>
      </c>
      <c r="G140">
        <f>Table3[[#This Row],[quantity]]*Table3[[#This Row],[Product Price]]</f>
        <v>3600</v>
      </c>
      <c r="H140" t="str">
        <f>_xlfn.XLOOKUP(C140,Products!A:A,Products!C:C)</f>
        <v>Electronics</v>
      </c>
      <c r="I140" s="6">
        <f t="shared" si="4"/>
        <v>8</v>
      </c>
      <c r="J140" s="6" t="str">
        <f>_xlfn.XLOOKUP(C140,Products!A:A,Products!B:B)</f>
        <v>Phone Stand</v>
      </c>
    </row>
    <row r="141" spans="1:10">
      <c r="A141">
        <v>1140</v>
      </c>
      <c r="B141">
        <v>19</v>
      </c>
      <c r="C141">
        <v>123</v>
      </c>
      <c r="D141" s="5">
        <v>45668</v>
      </c>
      <c r="E141">
        <v>4</v>
      </c>
      <c r="F141">
        <f>_xlfn.XLOOKUP(C141,Products!A:A,Products!D:D)</f>
        <v>5500</v>
      </c>
      <c r="G141">
        <f>Table3[[#This Row],[quantity]]*Table3[[#This Row],[Product Price]]</f>
        <v>22000</v>
      </c>
      <c r="H141" t="str">
        <f>_xlfn.XLOOKUP(C141,Products!A:A,Products!C:C)</f>
        <v>Home Appliances</v>
      </c>
      <c r="I141" s="6">
        <f t="shared" si="4"/>
        <v>1</v>
      </c>
      <c r="J141" s="6" t="str">
        <f>_xlfn.XLOOKUP(C141,Products!A:A,Products!B:B)</f>
        <v>Coffee Maker</v>
      </c>
    </row>
    <row r="142" spans="1:10">
      <c r="A142">
        <v>1141</v>
      </c>
      <c r="B142">
        <v>16</v>
      </c>
      <c r="C142">
        <v>101</v>
      </c>
      <c r="D142" s="5">
        <v>45838</v>
      </c>
      <c r="E142">
        <v>3</v>
      </c>
      <c r="F142">
        <f>_xlfn.XLOOKUP(C142,Products!A:A,Products!D:D)</f>
        <v>65000</v>
      </c>
      <c r="G142">
        <f>Table3[[#This Row],[quantity]]*Table3[[#This Row],[Product Price]]</f>
        <v>195000</v>
      </c>
      <c r="H142" t="str">
        <f>_xlfn.XLOOKUP(C142,Products!A:A,Products!C:C)</f>
        <v>Electronics</v>
      </c>
      <c r="I142" s="6">
        <f t="shared" si="4"/>
        <v>6</v>
      </c>
      <c r="J142" s="6" t="str">
        <f>_xlfn.XLOOKUP(C142,Products!A:A,Products!B:B)</f>
        <v>Laptop Pro 14</v>
      </c>
    </row>
    <row r="143" spans="1:10">
      <c r="A143">
        <v>1142</v>
      </c>
      <c r="B143">
        <v>13</v>
      </c>
      <c r="C143">
        <v>114</v>
      </c>
      <c r="D143" s="5">
        <v>45933</v>
      </c>
      <c r="E143">
        <v>2</v>
      </c>
      <c r="F143">
        <f>_xlfn.XLOOKUP(C143,Products!A:A,Products!D:D)</f>
        <v>3200</v>
      </c>
      <c r="G143">
        <f>Table3[[#This Row],[quantity]]*Table3[[#This Row],[Product Price]]</f>
        <v>6400</v>
      </c>
      <c r="H143" t="str">
        <f>_xlfn.XLOOKUP(C143,Products!A:A,Products!C:C)</f>
        <v>Accessories</v>
      </c>
      <c r="I143" s="6">
        <f t="shared" si="4"/>
        <v>10</v>
      </c>
      <c r="J143" s="6" t="str">
        <f>_xlfn.XLOOKUP(C143,Products!A:A,Products!B:B)</f>
        <v>Travel Bag</v>
      </c>
    </row>
    <row r="144" spans="1:10">
      <c r="A144">
        <v>1143</v>
      </c>
      <c r="B144">
        <v>16</v>
      </c>
      <c r="C144">
        <v>108</v>
      </c>
      <c r="D144" s="5">
        <v>45797</v>
      </c>
      <c r="E144">
        <v>4</v>
      </c>
      <c r="F144">
        <f>_xlfn.XLOOKUP(C144,Products!A:A,Products!D:D)</f>
        <v>1800</v>
      </c>
      <c r="G144">
        <f>Table3[[#This Row],[quantity]]*Table3[[#This Row],[Product Price]]</f>
        <v>7200</v>
      </c>
      <c r="H144" t="str">
        <f>_xlfn.XLOOKUP(C144,Products!A:A,Products!C:C)</f>
        <v>Electronics</v>
      </c>
      <c r="I144" s="6">
        <f t="shared" si="4"/>
        <v>5</v>
      </c>
      <c r="J144" s="6" t="str">
        <f>_xlfn.XLOOKUP(C144,Products!A:A,Products!B:B)</f>
        <v>Power Bank</v>
      </c>
    </row>
    <row r="145" spans="1:10">
      <c r="A145">
        <v>1144</v>
      </c>
      <c r="B145">
        <v>16</v>
      </c>
      <c r="C145">
        <v>101</v>
      </c>
      <c r="D145" s="5">
        <v>45857</v>
      </c>
      <c r="E145">
        <v>3</v>
      </c>
      <c r="F145">
        <f>_xlfn.XLOOKUP(C145,Products!A:A,Products!D:D)</f>
        <v>65000</v>
      </c>
      <c r="G145">
        <f>Table3[[#This Row],[quantity]]*Table3[[#This Row],[Product Price]]</f>
        <v>195000</v>
      </c>
      <c r="H145" t="str">
        <f>_xlfn.XLOOKUP(C145,Products!A:A,Products!C:C)</f>
        <v>Electronics</v>
      </c>
      <c r="I145" s="6">
        <f t="shared" si="4"/>
        <v>7</v>
      </c>
      <c r="J145" s="6" t="str">
        <f>_xlfn.XLOOKUP(C145,Products!A:A,Products!B:B)</f>
        <v>Laptop Pro 14</v>
      </c>
    </row>
    <row r="146" spans="1:10">
      <c r="A146">
        <v>1145</v>
      </c>
      <c r="B146">
        <v>13</v>
      </c>
      <c r="C146">
        <v>124</v>
      </c>
      <c r="D146" s="5">
        <v>45742</v>
      </c>
      <c r="E146">
        <v>4</v>
      </c>
      <c r="F146">
        <f>_xlfn.XLOOKUP(C146,Products!A:A,Products!D:D)</f>
        <v>6200</v>
      </c>
      <c r="G146">
        <f>Table3[[#This Row],[quantity]]*Table3[[#This Row],[Product Price]]</f>
        <v>24800</v>
      </c>
      <c r="H146" t="str">
        <f>_xlfn.XLOOKUP(C146,Products!A:A,Products!C:C)</f>
        <v>Home Appliances</v>
      </c>
      <c r="I146" s="6">
        <f t="shared" si="4"/>
        <v>3</v>
      </c>
      <c r="J146" s="6" t="str">
        <f>_xlfn.XLOOKUP(C146,Products!A:A,Products!B:B)</f>
        <v>Air Fryer</v>
      </c>
    </row>
    <row r="147" spans="1:10">
      <c r="A147">
        <v>1146</v>
      </c>
      <c r="B147">
        <v>5</v>
      </c>
      <c r="C147">
        <v>120</v>
      </c>
      <c r="D147" s="5">
        <v>45931</v>
      </c>
      <c r="E147">
        <v>1</v>
      </c>
      <c r="F147">
        <f>_xlfn.XLOOKUP(C147,Products!A:A,Products!D:D)</f>
        <v>2200</v>
      </c>
      <c r="G147">
        <f>Table3[[#This Row],[quantity]]*Table3[[#This Row],[Product Price]]</f>
        <v>2200</v>
      </c>
      <c r="H147" t="str">
        <f>_xlfn.XLOOKUP(C147,Products!A:A,Products!C:C)</f>
        <v>Clothing</v>
      </c>
      <c r="I147" s="6">
        <f t="shared" si="4"/>
        <v>10</v>
      </c>
      <c r="J147" s="6" t="str">
        <f>_xlfn.XLOOKUP(C147,Products!A:A,Products!B:B)</f>
        <v>Jeans</v>
      </c>
    </row>
    <row r="148" spans="1:10">
      <c r="A148">
        <v>1147</v>
      </c>
      <c r="B148">
        <v>13</v>
      </c>
      <c r="C148">
        <v>119</v>
      </c>
      <c r="D148" s="5">
        <v>45946</v>
      </c>
      <c r="E148">
        <v>1</v>
      </c>
      <c r="F148">
        <f>_xlfn.XLOOKUP(C148,Products!A:A,Products!D:D)</f>
        <v>900</v>
      </c>
      <c r="G148">
        <f>Table3[[#This Row],[quantity]]*Table3[[#This Row],[Product Price]]</f>
        <v>900</v>
      </c>
      <c r="H148" t="str">
        <f>_xlfn.XLOOKUP(C148,Products!A:A,Products!C:C)</f>
        <v>Clothing</v>
      </c>
      <c r="I148" s="6">
        <f t="shared" si="4"/>
        <v>10</v>
      </c>
      <c r="J148" s="6" t="str">
        <f>_xlfn.XLOOKUP(C148,Products!A:A,Products!B:B)</f>
        <v>T-Shirt</v>
      </c>
    </row>
    <row r="149" spans="1:10">
      <c r="A149">
        <v>1148</v>
      </c>
      <c r="B149">
        <v>3</v>
      </c>
      <c r="C149">
        <v>121</v>
      </c>
      <c r="D149" s="5">
        <v>45877</v>
      </c>
      <c r="E149">
        <v>2</v>
      </c>
      <c r="F149">
        <f>_xlfn.XLOOKUP(C149,Products!A:A,Products!D:D)</f>
        <v>1800</v>
      </c>
      <c r="G149">
        <f>Table3[[#This Row],[quantity]]*Table3[[#This Row],[Product Price]]</f>
        <v>3600</v>
      </c>
      <c r="H149" t="str">
        <f>_xlfn.XLOOKUP(C149,Products!A:A,Products!C:C)</f>
        <v>Clothing</v>
      </c>
      <c r="I149" s="6">
        <f t="shared" si="4"/>
        <v>8</v>
      </c>
      <c r="J149" s="6" t="str">
        <f>_xlfn.XLOOKUP(C149,Products!A:A,Products!B:B)</f>
        <v>Hoodie</v>
      </c>
    </row>
    <row r="150" spans="1:10">
      <c r="A150">
        <v>1149</v>
      </c>
      <c r="B150">
        <v>15</v>
      </c>
      <c r="C150">
        <v>106</v>
      </c>
      <c r="D150" s="5">
        <v>45683</v>
      </c>
      <c r="E150">
        <v>3</v>
      </c>
      <c r="F150">
        <f>_xlfn.XLOOKUP(C150,Products!A:A,Products!D:D)</f>
        <v>7500</v>
      </c>
      <c r="G150">
        <f>Table3[[#This Row],[quantity]]*Table3[[#This Row],[Product Price]]</f>
        <v>22500</v>
      </c>
      <c r="H150" t="str">
        <f>_xlfn.XLOOKUP(C150,Products!A:A,Products!C:C)</f>
        <v>Electronics</v>
      </c>
      <c r="I150" s="6">
        <f t="shared" si="4"/>
        <v>1</v>
      </c>
      <c r="J150" s="6" t="str">
        <f>_xlfn.XLOOKUP(C150,Products!A:A,Products!B:B)</f>
        <v>Smart Watch</v>
      </c>
    </row>
    <row r="151" spans="1:10">
      <c r="A151">
        <v>1150</v>
      </c>
      <c r="B151">
        <v>13</v>
      </c>
      <c r="C151">
        <v>111</v>
      </c>
      <c r="D151" s="5">
        <v>45766</v>
      </c>
      <c r="E151">
        <v>4</v>
      </c>
      <c r="F151">
        <f>_xlfn.XLOOKUP(C151,Products!A:A,Products!D:D)</f>
        <v>7000</v>
      </c>
      <c r="G151">
        <f>Table3[[#This Row],[quantity]]*Table3[[#This Row],[Product Price]]</f>
        <v>28000</v>
      </c>
      <c r="H151" t="str">
        <f>_xlfn.XLOOKUP(C151,Products!A:A,Products!C:C)</f>
        <v>Furniture</v>
      </c>
      <c r="I151" s="6">
        <f t="shared" si="4"/>
        <v>4</v>
      </c>
      <c r="J151" s="6" t="str">
        <f>_xlfn.XLOOKUP(C151,Products!A:A,Products!B:B)</f>
        <v>Bookshelf</v>
      </c>
    </row>
    <row r="152" spans="1:10">
      <c r="D152" s="5"/>
      <c r="F152" s="6"/>
      <c r="G152" s="6">
        <f>SUM(Table3[Revenu])</f>
        <v>1965300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0F02-BAF7-4EDB-9FEE-0A831A6BE33E}">
  <dimension ref="A1:E26"/>
  <sheetViews>
    <sheetView workbookViewId="0">
      <selection activeCell="E2" sqref="E2:E10"/>
    </sheetView>
  </sheetViews>
  <sheetFormatPr defaultRowHeight="15"/>
  <cols>
    <col min="1" max="1" width="13.140625" bestFit="1" customWidth="1"/>
    <col min="2" max="2" width="21.7109375" bestFit="1" customWidth="1"/>
    <col min="3" max="3" width="16.42578125" bestFit="1" customWidth="1"/>
    <col min="5" max="5" width="14.7109375" bestFit="1" customWidth="1"/>
  </cols>
  <sheetData>
    <row r="1" spans="1:5">
      <c r="A1" s="1" t="s">
        <v>47</v>
      </c>
      <c r="B1" s="1" t="s">
        <v>55</v>
      </c>
      <c r="C1" s="1" t="s">
        <v>56</v>
      </c>
      <c r="D1" s="1" t="s">
        <v>57</v>
      </c>
      <c r="E1" s="9" t="s">
        <v>58</v>
      </c>
    </row>
    <row r="2" spans="1:5">
      <c r="A2" s="1">
        <v>101</v>
      </c>
      <c r="B2" s="1" t="s">
        <v>59</v>
      </c>
      <c r="C2" s="1" t="s">
        <v>60</v>
      </c>
      <c r="D2" s="1">
        <v>65000</v>
      </c>
      <c r="E2" s="9">
        <f>SUMIF(Orders!C:C,A2,Orders!G:G)</f>
        <v>780000</v>
      </c>
    </row>
    <row r="3" spans="1:5">
      <c r="A3" s="1">
        <v>109</v>
      </c>
      <c r="B3" s="1" t="s">
        <v>61</v>
      </c>
      <c r="C3" s="1" t="s">
        <v>62</v>
      </c>
      <c r="D3" s="1">
        <v>12000</v>
      </c>
      <c r="E3" s="9">
        <f>SUMIF(Orders!C:C,A3,Orders!G:G)</f>
        <v>204000</v>
      </c>
    </row>
    <row r="4" spans="1:5">
      <c r="A4" s="1">
        <v>124</v>
      </c>
      <c r="B4" s="1" t="s">
        <v>63</v>
      </c>
      <c r="C4" s="1" t="s">
        <v>64</v>
      </c>
      <c r="D4" s="1">
        <v>6200</v>
      </c>
      <c r="E4" s="9">
        <f>SUMIF(Orders!C:C,A4,Orders!G:G)</f>
        <v>93000</v>
      </c>
    </row>
    <row r="5" spans="1:5">
      <c r="A5" s="1">
        <v>118</v>
      </c>
      <c r="B5" s="1" t="s">
        <v>65</v>
      </c>
      <c r="C5" s="1" t="s">
        <v>66</v>
      </c>
      <c r="D5" s="1">
        <v>2500</v>
      </c>
      <c r="E5" s="9">
        <f>SUMIF(Orders!C:C,A5,Orders!G:G)</f>
        <v>72500</v>
      </c>
    </row>
    <row r="6" spans="1:5">
      <c r="A6" s="1">
        <v>110</v>
      </c>
      <c r="B6" s="1" t="s">
        <v>67</v>
      </c>
      <c r="C6" s="1" t="s">
        <v>62</v>
      </c>
      <c r="D6" s="1">
        <v>9500</v>
      </c>
      <c r="E6" s="9">
        <f>SUMIF(Orders!C:C,A6,Orders!G:G)</f>
        <v>66500</v>
      </c>
    </row>
    <row r="7" spans="1:5">
      <c r="A7" s="1">
        <v>123</v>
      </c>
      <c r="B7" s="1" t="s">
        <v>68</v>
      </c>
      <c r="C7" s="1" t="s">
        <v>64</v>
      </c>
      <c r="D7" s="1">
        <v>5500</v>
      </c>
      <c r="E7" s="9">
        <f>SUMIF(Orders!C:C,A7,Orders!G:G)</f>
        <v>66000</v>
      </c>
    </row>
    <row r="8" spans="1:5">
      <c r="A8" s="1">
        <v>105</v>
      </c>
      <c r="B8" s="1" t="s">
        <v>69</v>
      </c>
      <c r="C8" s="1" t="s">
        <v>60</v>
      </c>
      <c r="D8" s="1">
        <v>4500</v>
      </c>
      <c r="E8" s="9">
        <f>SUMIF(Orders!C:C,A8,Orders!G:G)</f>
        <v>63000</v>
      </c>
    </row>
    <row r="9" spans="1:5">
      <c r="A9" s="1">
        <v>114</v>
      </c>
      <c r="B9" s="1" t="s">
        <v>70</v>
      </c>
      <c r="C9" s="1" t="s">
        <v>71</v>
      </c>
      <c r="D9" s="1">
        <v>3200</v>
      </c>
      <c r="E9" s="9">
        <f>SUMIF(Orders!C:C,A9,Orders!G:G)</f>
        <v>57600</v>
      </c>
    </row>
    <row r="10" spans="1:5">
      <c r="A10" s="1">
        <v>103</v>
      </c>
      <c r="B10" s="1" t="s">
        <v>72</v>
      </c>
      <c r="C10" s="1" t="s">
        <v>60</v>
      </c>
      <c r="D10" s="1">
        <v>3500</v>
      </c>
      <c r="E10" s="9">
        <f>SUMIF(Orders!C:C,A10,Orders!G:G)</f>
        <v>56000</v>
      </c>
    </row>
    <row r="11" spans="1:5">
      <c r="A11" s="1">
        <v>111</v>
      </c>
      <c r="B11" s="1" t="s">
        <v>73</v>
      </c>
      <c r="C11" s="1" t="s">
        <v>62</v>
      </c>
      <c r="D11" s="1">
        <v>7000</v>
      </c>
      <c r="E11" s="9">
        <f>SUMIF(Orders!C:C,A11,Orders!G:G)</f>
        <v>56000</v>
      </c>
    </row>
    <row r="12" spans="1:5">
      <c r="A12" s="1">
        <v>106</v>
      </c>
      <c r="B12" s="1" t="s">
        <v>74</v>
      </c>
      <c r="C12" s="1" t="s">
        <v>60</v>
      </c>
      <c r="D12" s="1">
        <v>7500</v>
      </c>
      <c r="E12" s="9">
        <f>SUMIF(Orders!C:C,A12,Orders!G:G)</f>
        <v>52500</v>
      </c>
    </row>
    <row r="13" spans="1:5">
      <c r="A13" s="1">
        <v>113</v>
      </c>
      <c r="B13" s="1" t="s">
        <v>75</v>
      </c>
      <c r="C13" s="1" t="s">
        <v>71</v>
      </c>
      <c r="D13" s="1">
        <v>2200</v>
      </c>
      <c r="E13" s="9">
        <f>SUMIF(Orders!C:C,A13,Orders!G:G)</f>
        <v>48400</v>
      </c>
    </row>
    <row r="14" spans="1:5">
      <c r="A14" s="1">
        <v>116</v>
      </c>
      <c r="B14" s="1" t="s">
        <v>76</v>
      </c>
      <c r="C14" s="1" t="s">
        <v>66</v>
      </c>
      <c r="D14" s="1">
        <v>4800</v>
      </c>
      <c r="E14" s="9">
        <f>SUMIF(Orders!C:C,A14,Orders!G:G)</f>
        <v>43200</v>
      </c>
    </row>
    <row r="15" spans="1:5">
      <c r="A15" s="1">
        <v>108</v>
      </c>
      <c r="B15" s="1" t="s">
        <v>77</v>
      </c>
      <c r="C15" s="1" t="s">
        <v>60</v>
      </c>
      <c r="D15" s="1">
        <v>1800</v>
      </c>
      <c r="E15" s="9">
        <f>SUMIF(Orders!C:C,A15,Orders!G:G)</f>
        <v>41400</v>
      </c>
    </row>
    <row r="16" spans="1:5">
      <c r="A16" s="1">
        <v>120</v>
      </c>
      <c r="B16" s="1" t="s">
        <v>78</v>
      </c>
      <c r="C16" s="1" t="s">
        <v>79</v>
      </c>
      <c r="D16" s="1">
        <v>2200</v>
      </c>
      <c r="E16" s="9">
        <f>SUMIF(Orders!C:C,A16,Orders!G:G)</f>
        <v>37400</v>
      </c>
    </row>
    <row r="17" spans="1:5">
      <c r="A17" s="1">
        <v>104</v>
      </c>
      <c r="B17" s="1" t="s">
        <v>80</v>
      </c>
      <c r="C17" s="1" t="s">
        <v>60</v>
      </c>
      <c r="D17" s="1">
        <v>2200</v>
      </c>
      <c r="E17" s="9">
        <f>SUMIF(Orders!C:C,A17,Orders!G:G)</f>
        <v>35200</v>
      </c>
    </row>
    <row r="18" spans="1:5">
      <c r="A18" s="1">
        <v>112</v>
      </c>
      <c r="B18" s="1" t="s">
        <v>81</v>
      </c>
      <c r="C18" s="1" t="s">
        <v>62</v>
      </c>
      <c r="D18" s="1">
        <v>1800</v>
      </c>
      <c r="E18" s="9">
        <f>SUMIF(Orders!C:C,A18,Orders!G:G)</f>
        <v>32400</v>
      </c>
    </row>
    <row r="19" spans="1:5">
      <c r="A19" s="1">
        <v>122</v>
      </c>
      <c r="B19" s="1" t="s">
        <v>82</v>
      </c>
      <c r="C19" s="1" t="s">
        <v>79</v>
      </c>
      <c r="D19" s="1">
        <v>3500</v>
      </c>
      <c r="E19" s="9">
        <f>SUMIF(Orders!C:C,A19,Orders!G:G)</f>
        <v>31500</v>
      </c>
    </row>
    <row r="20" spans="1:5">
      <c r="A20" s="1">
        <v>125</v>
      </c>
      <c r="B20" s="1" t="s">
        <v>83</v>
      </c>
      <c r="C20" s="1" t="s">
        <v>64</v>
      </c>
      <c r="D20" s="1">
        <v>1800</v>
      </c>
      <c r="E20" s="9">
        <f>SUMIF(Orders!C:C,A20,Orders!G:G)</f>
        <v>27000</v>
      </c>
    </row>
    <row r="21" spans="1:5">
      <c r="A21" s="1">
        <v>115</v>
      </c>
      <c r="B21" s="1" t="s">
        <v>84</v>
      </c>
      <c r="C21" s="1" t="s">
        <v>71</v>
      </c>
      <c r="D21" s="1">
        <v>1500</v>
      </c>
      <c r="E21" s="9">
        <f>SUMIF(Orders!C:C,A21,Orders!G:G)</f>
        <v>25500</v>
      </c>
    </row>
    <row r="22" spans="1:5">
      <c r="A22" s="1">
        <v>102</v>
      </c>
      <c r="B22" s="1" t="s">
        <v>85</v>
      </c>
      <c r="C22" s="1" t="s">
        <v>60</v>
      </c>
      <c r="D22" s="1">
        <v>1200</v>
      </c>
      <c r="E22" s="9">
        <f>SUMIF(Orders!C:C,A22,Orders!G:G)</f>
        <v>21600</v>
      </c>
    </row>
    <row r="23" spans="1:5">
      <c r="A23" s="1">
        <v>117</v>
      </c>
      <c r="B23" s="1" t="s">
        <v>86</v>
      </c>
      <c r="C23" s="1" t="s">
        <v>66</v>
      </c>
      <c r="D23" s="1">
        <v>1200</v>
      </c>
      <c r="E23" s="9">
        <f>SUMIF(Orders!C:C,A23,Orders!G:G)</f>
        <v>20400</v>
      </c>
    </row>
    <row r="24" spans="1:5">
      <c r="A24" s="1">
        <v>107</v>
      </c>
      <c r="B24" s="1" t="s">
        <v>87</v>
      </c>
      <c r="C24" s="1" t="s">
        <v>60</v>
      </c>
      <c r="D24" s="1">
        <v>900</v>
      </c>
      <c r="E24" s="9">
        <f>SUMIF(Orders!C:C,A24,Orders!G:G)</f>
        <v>18000</v>
      </c>
    </row>
    <row r="25" spans="1:5">
      <c r="A25" s="1">
        <v>121</v>
      </c>
      <c r="B25" s="1" t="s">
        <v>88</v>
      </c>
      <c r="C25" s="1" t="s">
        <v>79</v>
      </c>
      <c r="D25" s="1">
        <v>1800</v>
      </c>
      <c r="E25" s="9">
        <f>SUMIF(Orders!C:C,A25,Orders!G:G)</f>
        <v>12600</v>
      </c>
    </row>
    <row r="26" spans="1:5">
      <c r="A26" s="1">
        <v>119</v>
      </c>
      <c r="B26" s="1" t="s">
        <v>89</v>
      </c>
      <c r="C26" s="1" t="s">
        <v>79</v>
      </c>
      <c r="D26" s="1">
        <v>900</v>
      </c>
      <c r="E26" s="9">
        <f>SUMIF(Orders!C:C,A26,Orders!G:G)</f>
        <v>3600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130E-3A30-443A-8384-FD1C9597EF15}">
  <dimension ref="A1:E145"/>
  <sheetViews>
    <sheetView topLeftCell="A40" workbookViewId="0">
      <selection activeCell="D60" sqref="D60"/>
    </sheetView>
  </sheetViews>
  <sheetFormatPr defaultRowHeight="15"/>
  <cols>
    <col min="1" max="1" width="13.85546875" customWidth="1"/>
    <col min="2" max="2" width="21.7109375" bestFit="1" customWidth="1"/>
    <col min="3" max="3" width="16.42578125" bestFit="1" customWidth="1"/>
    <col min="4" max="4" width="14.28515625" customWidth="1"/>
    <col min="5" max="5" width="18.140625" customWidth="1"/>
    <col min="6" max="6" width="15.42578125" customWidth="1"/>
  </cols>
  <sheetData>
    <row r="1" spans="1:5" ht="15.75">
      <c r="A1" s="13" t="s">
        <v>90</v>
      </c>
      <c r="B1" s="14"/>
      <c r="C1" s="1"/>
      <c r="D1" s="1"/>
      <c r="E1" s="9"/>
    </row>
    <row r="2" spans="1:5">
      <c r="A2" s="1"/>
      <c r="B2" s="1"/>
      <c r="C2" s="1"/>
      <c r="D2" s="1"/>
      <c r="E2" s="9"/>
    </row>
    <row r="3" spans="1:5" ht="15.75">
      <c r="A3" s="13" t="s">
        <v>91</v>
      </c>
      <c r="B3" s="1"/>
      <c r="C3" s="1"/>
      <c r="D3" s="1"/>
      <c r="E3" s="9"/>
    </row>
    <row r="4" spans="1:5">
      <c r="A4" s="1"/>
      <c r="B4" s="1"/>
      <c r="C4" s="1"/>
      <c r="D4" s="1"/>
      <c r="E4" s="9"/>
    </row>
    <row r="5" spans="1:5" ht="15.75">
      <c r="A5" s="13" t="s">
        <v>92</v>
      </c>
      <c r="B5" s="15"/>
      <c r="C5" s="1"/>
      <c r="D5" s="1"/>
      <c r="E5" s="9"/>
    </row>
    <row r="6" spans="1:5">
      <c r="A6" s="1"/>
      <c r="B6" s="1"/>
      <c r="C6" s="1"/>
      <c r="D6" s="1"/>
      <c r="E6" s="9"/>
    </row>
    <row r="7" spans="1:5">
      <c r="A7" s="7" t="s">
        <v>52</v>
      </c>
      <c r="B7" t="s">
        <v>93</v>
      </c>
      <c r="C7" s="1"/>
      <c r="D7" s="1"/>
      <c r="E7" s="9"/>
    </row>
    <row r="8" spans="1:5">
      <c r="A8" t="s">
        <v>71</v>
      </c>
      <c r="B8" s="6">
        <v>131500</v>
      </c>
      <c r="C8" s="1"/>
      <c r="D8" s="1"/>
      <c r="E8" s="9"/>
    </row>
    <row r="9" spans="1:5">
      <c r="A9" t="s">
        <v>79</v>
      </c>
      <c r="B9" s="6">
        <v>85100</v>
      </c>
      <c r="C9" s="1"/>
      <c r="D9" s="1"/>
      <c r="E9" s="9"/>
    </row>
    <row r="10" spans="1:5">
      <c r="A10" t="s">
        <v>60</v>
      </c>
      <c r="B10" s="6">
        <v>1067700</v>
      </c>
      <c r="C10" s="1"/>
      <c r="D10" s="1"/>
      <c r="E10" s="9"/>
    </row>
    <row r="11" spans="1:5">
      <c r="A11" t="s">
        <v>62</v>
      </c>
      <c r="B11" s="6">
        <v>358900</v>
      </c>
      <c r="C11" s="1"/>
      <c r="D11" s="1"/>
      <c r="E11" s="9"/>
    </row>
    <row r="12" spans="1:5">
      <c r="A12" t="s">
        <v>64</v>
      </c>
      <c r="B12" s="6">
        <v>186000</v>
      </c>
      <c r="C12" s="1"/>
      <c r="D12" s="1"/>
      <c r="E12" s="9"/>
    </row>
    <row r="13" spans="1:5">
      <c r="A13" t="s">
        <v>66</v>
      </c>
      <c r="B13" s="6">
        <v>136100</v>
      </c>
      <c r="C13" s="1"/>
      <c r="D13" s="1"/>
      <c r="E13" s="9"/>
    </row>
    <row r="14" spans="1:5">
      <c r="A14" t="s">
        <v>94</v>
      </c>
      <c r="B14" s="6">
        <v>1965300</v>
      </c>
    </row>
    <row r="16" spans="1:5" ht="15.75">
      <c r="A16" s="13" t="s">
        <v>95</v>
      </c>
    </row>
    <row r="18" spans="1:2">
      <c r="A18" s="7" t="s">
        <v>96</v>
      </c>
      <c r="B18" t="s">
        <v>93</v>
      </c>
    </row>
    <row r="19" spans="1:2">
      <c r="A19">
        <v>1</v>
      </c>
      <c r="B19" s="6">
        <v>90100</v>
      </c>
    </row>
    <row r="20" spans="1:2">
      <c r="A20">
        <v>2</v>
      </c>
      <c r="B20" s="6">
        <v>136500</v>
      </c>
    </row>
    <row r="21" spans="1:2">
      <c r="A21">
        <v>3</v>
      </c>
      <c r="B21" s="6">
        <v>194100</v>
      </c>
    </row>
    <row r="22" spans="1:2">
      <c r="A22">
        <v>4</v>
      </c>
      <c r="B22" s="6">
        <v>81700</v>
      </c>
    </row>
    <row r="23" spans="1:2">
      <c r="A23">
        <v>5</v>
      </c>
      <c r="B23" s="6">
        <v>233900</v>
      </c>
    </row>
    <row r="24" spans="1:2">
      <c r="A24">
        <v>6</v>
      </c>
      <c r="B24" s="6">
        <v>320900</v>
      </c>
    </row>
    <row r="25" spans="1:2">
      <c r="A25">
        <v>7</v>
      </c>
      <c r="B25" s="6">
        <v>271000</v>
      </c>
    </row>
    <row r="26" spans="1:2">
      <c r="A26">
        <v>8</v>
      </c>
      <c r="B26" s="6">
        <v>123600</v>
      </c>
    </row>
    <row r="27" spans="1:2">
      <c r="A27">
        <v>9</v>
      </c>
      <c r="B27" s="6">
        <v>204200</v>
      </c>
    </row>
    <row r="28" spans="1:2">
      <c r="A28">
        <v>10</v>
      </c>
      <c r="B28" s="6">
        <v>80200</v>
      </c>
    </row>
    <row r="29" spans="1:2">
      <c r="A29">
        <v>11</v>
      </c>
      <c r="B29" s="6">
        <v>62900</v>
      </c>
    </row>
    <row r="30" spans="1:2">
      <c r="A30">
        <v>12</v>
      </c>
      <c r="B30" s="6">
        <v>166200</v>
      </c>
    </row>
    <row r="31" spans="1:2">
      <c r="A31" t="s">
        <v>94</v>
      </c>
      <c r="B31" s="6">
        <v>1965300</v>
      </c>
    </row>
    <row r="33" spans="1:5" ht="15.75">
      <c r="A33" s="13" t="s">
        <v>97</v>
      </c>
    </row>
    <row r="35" spans="1:5">
      <c r="A35" s="1" t="s">
        <v>47</v>
      </c>
      <c r="B35" s="1" t="s">
        <v>55</v>
      </c>
      <c r="C35" s="1" t="s">
        <v>56</v>
      </c>
      <c r="D35" s="1" t="s">
        <v>57</v>
      </c>
      <c r="E35" s="9" t="s">
        <v>58</v>
      </c>
    </row>
    <row r="36" spans="1:5">
      <c r="A36" s="1">
        <v>101</v>
      </c>
      <c r="B36" s="1" t="s">
        <v>59</v>
      </c>
      <c r="C36" s="1" t="s">
        <v>60</v>
      </c>
      <c r="D36" s="1">
        <v>65000</v>
      </c>
      <c r="E36" s="9">
        <f>SUMIF(Orders!C:C,A36,Orders!G:G)</f>
        <v>780000</v>
      </c>
    </row>
    <row r="37" spans="1:5">
      <c r="A37" s="1">
        <v>109</v>
      </c>
      <c r="B37" s="1" t="s">
        <v>61</v>
      </c>
      <c r="C37" s="1" t="s">
        <v>62</v>
      </c>
      <c r="D37" s="1">
        <v>12000</v>
      </c>
      <c r="E37" s="9">
        <f>SUMIF(Orders!C:C,A37,Orders!G:G)</f>
        <v>204000</v>
      </c>
    </row>
    <row r="38" spans="1:5">
      <c r="A38" s="1">
        <v>124</v>
      </c>
      <c r="B38" s="1" t="s">
        <v>63</v>
      </c>
      <c r="C38" s="1" t="s">
        <v>64</v>
      </c>
      <c r="D38" s="1">
        <v>6200</v>
      </c>
      <c r="E38" s="9">
        <f>SUMIF(Orders!C:C,A38,Orders!G:G)</f>
        <v>93000</v>
      </c>
    </row>
    <row r="39" spans="1:5">
      <c r="A39" s="1">
        <v>118</v>
      </c>
      <c r="B39" s="1" t="s">
        <v>65</v>
      </c>
      <c r="C39" s="1" t="s">
        <v>66</v>
      </c>
      <c r="D39" s="1">
        <v>2500</v>
      </c>
      <c r="E39" s="9">
        <f>SUMIF(Orders!C:C,A39,Orders!G:G)</f>
        <v>72500</v>
      </c>
    </row>
    <row r="40" spans="1:5">
      <c r="A40" s="1">
        <v>110</v>
      </c>
      <c r="B40" s="1" t="s">
        <v>67</v>
      </c>
      <c r="C40" s="1" t="s">
        <v>62</v>
      </c>
      <c r="D40" s="1">
        <v>9500</v>
      </c>
      <c r="E40" s="9">
        <f>SUMIF(Orders!C:C,A40,Orders!G:G)</f>
        <v>66500</v>
      </c>
    </row>
    <row r="41" spans="1:5">
      <c r="A41" s="1">
        <v>123</v>
      </c>
      <c r="B41" s="1" t="s">
        <v>68</v>
      </c>
      <c r="C41" s="1" t="s">
        <v>64</v>
      </c>
      <c r="D41" s="1">
        <v>5500</v>
      </c>
      <c r="E41" s="9">
        <f>SUMIF(Orders!C:C,A41,Orders!G:G)</f>
        <v>66000</v>
      </c>
    </row>
    <row r="42" spans="1:5">
      <c r="A42" s="1">
        <v>105</v>
      </c>
      <c r="B42" s="1" t="s">
        <v>69</v>
      </c>
      <c r="C42" s="1" t="s">
        <v>60</v>
      </c>
      <c r="D42" s="1">
        <v>4500</v>
      </c>
      <c r="E42" s="9">
        <f>SUMIF(Orders!C:C,A42,Orders!G:G)</f>
        <v>63000</v>
      </c>
    </row>
    <row r="43" spans="1:5">
      <c r="A43" s="1">
        <v>114</v>
      </c>
      <c r="B43" s="1" t="s">
        <v>70</v>
      </c>
      <c r="C43" s="1" t="s">
        <v>71</v>
      </c>
      <c r="D43" s="1">
        <v>3200</v>
      </c>
      <c r="E43" s="9">
        <f>SUMIF(Orders!C:C,A43,Orders!G:G)</f>
        <v>57600</v>
      </c>
    </row>
    <row r="44" spans="1:5">
      <c r="A44" s="1">
        <v>103</v>
      </c>
      <c r="B44" s="1" t="s">
        <v>72</v>
      </c>
      <c r="C44" s="1" t="s">
        <v>60</v>
      </c>
      <c r="D44" s="1">
        <v>3500</v>
      </c>
      <c r="E44" s="9">
        <f>SUMIF(Orders!C:C,A44,Orders!G:G)</f>
        <v>56000</v>
      </c>
    </row>
    <row r="45" spans="1:5">
      <c r="A45" s="1">
        <v>111</v>
      </c>
      <c r="B45" s="1" t="s">
        <v>73</v>
      </c>
      <c r="C45" s="1" t="s">
        <v>62</v>
      </c>
      <c r="D45" s="1">
        <v>7000</v>
      </c>
      <c r="E45" s="9">
        <f>SUMIF(Orders!C:C,A45,Orders!G:G)</f>
        <v>56000</v>
      </c>
    </row>
    <row r="46" spans="1:5">
      <c r="A46" s="1"/>
      <c r="B46" s="1"/>
      <c r="C46" s="1"/>
      <c r="D46" s="1"/>
      <c r="E46" s="9"/>
    </row>
    <row r="47" spans="1:5" ht="15.75">
      <c r="A47" s="16" t="s">
        <v>98</v>
      </c>
    </row>
    <row r="49" spans="1:4">
      <c r="A49" s="24" t="s">
        <v>0</v>
      </c>
      <c r="B49" s="4" t="s">
        <v>93</v>
      </c>
      <c r="C49" s="25" t="s">
        <v>99</v>
      </c>
      <c r="D49" s="23" t="s">
        <v>51</v>
      </c>
    </row>
    <row r="50" spans="1:4">
      <c r="A50" s="4">
        <v>16</v>
      </c>
      <c r="B50" s="21">
        <v>413500</v>
      </c>
      <c r="C50" s="4" t="s">
        <v>37</v>
      </c>
      <c r="D50" s="26">
        <v>413500</v>
      </c>
    </row>
    <row r="51" spans="1:4">
      <c r="A51" s="4">
        <v>18</v>
      </c>
      <c r="B51" s="21">
        <v>244700</v>
      </c>
      <c r="C51" s="4" t="s">
        <v>40</v>
      </c>
      <c r="D51" s="26">
        <v>244700</v>
      </c>
    </row>
    <row r="52" spans="1:4">
      <c r="A52" s="4">
        <v>15</v>
      </c>
      <c r="B52" s="21">
        <v>238600</v>
      </c>
      <c r="C52" s="4" t="s">
        <v>35</v>
      </c>
      <c r="D52" s="26">
        <v>238600</v>
      </c>
    </row>
    <row r="53" spans="1:4">
      <c r="A53" s="4">
        <v>13</v>
      </c>
      <c r="B53" s="21">
        <v>172900</v>
      </c>
      <c r="C53" s="4" t="s">
        <v>32</v>
      </c>
      <c r="D53" s="26">
        <v>172900</v>
      </c>
    </row>
    <row r="54" spans="1:4">
      <c r="A54" s="4">
        <v>14</v>
      </c>
      <c r="B54" s="21">
        <v>158900</v>
      </c>
      <c r="C54" s="4" t="s">
        <v>34</v>
      </c>
      <c r="D54" s="26">
        <v>158900</v>
      </c>
    </row>
    <row r="55" spans="1:4">
      <c r="A55" s="4">
        <v>8</v>
      </c>
      <c r="B55" s="21">
        <v>99500</v>
      </c>
      <c r="C55" s="4" t="s">
        <v>21</v>
      </c>
      <c r="D55" s="26">
        <v>99500</v>
      </c>
    </row>
    <row r="56" spans="1:4">
      <c r="A56" s="4">
        <v>12</v>
      </c>
      <c r="B56" s="21">
        <v>87000</v>
      </c>
      <c r="C56" s="4" t="s">
        <v>30</v>
      </c>
      <c r="D56" s="26">
        <v>87000</v>
      </c>
    </row>
    <row r="57" spans="1:4">
      <c r="A57" s="4">
        <v>5</v>
      </c>
      <c r="B57" s="21">
        <v>70900</v>
      </c>
      <c r="C57" s="4" t="s">
        <v>14</v>
      </c>
      <c r="D57" s="26">
        <v>70900</v>
      </c>
    </row>
    <row r="58" spans="1:4">
      <c r="A58" s="4">
        <v>6</v>
      </c>
      <c r="B58" s="21">
        <v>62400</v>
      </c>
      <c r="C58" s="4" t="s">
        <v>16</v>
      </c>
      <c r="D58" s="26">
        <v>62400</v>
      </c>
    </row>
    <row r="59" spans="1:4">
      <c r="A59" s="4">
        <v>9</v>
      </c>
      <c r="B59" s="21">
        <v>56600</v>
      </c>
      <c r="C59" s="4" t="s">
        <v>23</v>
      </c>
      <c r="D59" s="26">
        <v>56600</v>
      </c>
    </row>
    <row r="60" spans="1:4">
      <c r="A60" s="4" t="s">
        <v>94</v>
      </c>
      <c r="B60" s="21">
        <v>1605000</v>
      </c>
      <c r="C60" s="4"/>
      <c r="D60" s="4"/>
    </row>
    <row r="62" spans="1:4" ht="15.75">
      <c r="A62" s="16" t="s">
        <v>100</v>
      </c>
    </row>
    <row r="64" spans="1:4">
      <c r="A64" s="7" t="s">
        <v>101</v>
      </c>
      <c r="B64" t="s">
        <v>102</v>
      </c>
    </row>
    <row r="65" spans="1:2">
      <c r="A65">
        <v>1</v>
      </c>
      <c r="B65" s="6">
        <v>12</v>
      </c>
    </row>
    <row r="66" spans="1:2">
      <c r="A66">
        <v>2</v>
      </c>
      <c r="B66" s="6">
        <v>10</v>
      </c>
    </row>
    <row r="67" spans="1:2">
      <c r="A67">
        <v>3</v>
      </c>
      <c r="B67" s="6">
        <v>20</v>
      </c>
    </row>
    <row r="68" spans="1:2">
      <c r="A68">
        <v>4</v>
      </c>
      <c r="B68" s="6">
        <v>9</v>
      </c>
    </row>
    <row r="69" spans="1:2">
      <c r="A69">
        <v>5</v>
      </c>
      <c r="B69" s="6">
        <v>13</v>
      </c>
    </row>
    <row r="70" spans="1:2">
      <c r="A70">
        <v>6</v>
      </c>
      <c r="B70" s="6">
        <v>14</v>
      </c>
    </row>
    <row r="71" spans="1:2">
      <c r="A71">
        <v>7</v>
      </c>
      <c r="B71" s="6">
        <v>9</v>
      </c>
    </row>
    <row r="72" spans="1:2">
      <c r="A72">
        <v>8</v>
      </c>
      <c r="B72" s="6">
        <v>14</v>
      </c>
    </row>
    <row r="73" spans="1:2">
      <c r="A73">
        <v>9</v>
      </c>
      <c r="B73" s="6">
        <v>11</v>
      </c>
    </row>
    <row r="74" spans="1:2">
      <c r="A74">
        <v>10</v>
      </c>
      <c r="B74" s="6">
        <v>12</v>
      </c>
    </row>
    <row r="75" spans="1:2">
      <c r="A75">
        <v>11</v>
      </c>
      <c r="B75" s="6">
        <v>8</v>
      </c>
    </row>
    <row r="76" spans="1:2">
      <c r="A76">
        <v>12</v>
      </c>
      <c r="B76" s="6">
        <v>18</v>
      </c>
    </row>
    <row r="77" spans="1:2">
      <c r="A77" t="s">
        <v>94</v>
      </c>
      <c r="B77" s="6">
        <v>150</v>
      </c>
    </row>
    <row r="79" spans="1:2" ht="15.75">
      <c r="A79" s="16" t="s">
        <v>103</v>
      </c>
    </row>
    <row r="81" spans="1:4">
      <c r="A81" s="7" t="s">
        <v>101</v>
      </c>
      <c r="B81" s="7" t="s">
        <v>93</v>
      </c>
      <c r="C81" t="s">
        <v>104</v>
      </c>
      <c r="D81" s="8" t="s">
        <v>105</v>
      </c>
    </row>
    <row r="82" spans="1:4">
      <c r="A82">
        <v>1</v>
      </c>
      <c r="B82" s="6">
        <v>90100</v>
      </c>
      <c r="C82" s="6">
        <v>12</v>
      </c>
      <c r="D82">
        <f>B82/C82</f>
        <v>7508.333333333333</v>
      </c>
    </row>
    <row r="83" spans="1:4">
      <c r="A83">
        <v>2</v>
      </c>
      <c r="B83" s="6">
        <v>136500</v>
      </c>
      <c r="C83" s="6">
        <v>10</v>
      </c>
      <c r="D83">
        <f t="shared" ref="D83:D94" si="0">B83/C83</f>
        <v>13650</v>
      </c>
    </row>
    <row r="84" spans="1:4">
      <c r="A84">
        <v>3</v>
      </c>
      <c r="B84" s="6">
        <v>194100</v>
      </c>
      <c r="C84" s="6">
        <v>20</v>
      </c>
      <c r="D84">
        <f t="shared" si="0"/>
        <v>9705</v>
      </c>
    </row>
    <row r="85" spans="1:4">
      <c r="A85">
        <v>4</v>
      </c>
      <c r="B85" s="6">
        <v>81700</v>
      </c>
      <c r="C85" s="6">
        <v>9</v>
      </c>
      <c r="D85">
        <f t="shared" si="0"/>
        <v>9077.7777777777774</v>
      </c>
    </row>
    <row r="86" spans="1:4">
      <c r="A86">
        <v>5</v>
      </c>
      <c r="B86" s="6">
        <v>233900</v>
      </c>
      <c r="C86" s="6">
        <v>13</v>
      </c>
      <c r="D86">
        <f t="shared" si="0"/>
        <v>17992.307692307691</v>
      </c>
    </row>
    <row r="87" spans="1:4">
      <c r="A87">
        <v>6</v>
      </c>
      <c r="B87" s="6">
        <v>320900</v>
      </c>
      <c r="C87" s="6">
        <v>14</v>
      </c>
      <c r="D87">
        <f t="shared" si="0"/>
        <v>22921.428571428572</v>
      </c>
    </row>
    <row r="88" spans="1:4">
      <c r="A88">
        <v>7</v>
      </c>
      <c r="B88" s="6">
        <v>271000</v>
      </c>
      <c r="C88" s="6">
        <v>9</v>
      </c>
      <c r="D88">
        <f t="shared" si="0"/>
        <v>30111.111111111109</v>
      </c>
    </row>
    <row r="89" spans="1:4">
      <c r="A89">
        <v>8</v>
      </c>
      <c r="B89" s="6">
        <v>123600</v>
      </c>
      <c r="C89" s="6">
        <v>14</v>
      </c>
      <c r="D89">
        <f t="shared" si="0"/>
        <v>8828.5714285714294</v>
      </c>
    </row>
    <row r="90" spans="1:4">
      <c r="A90">
        <v>9</v>
      </c>
      <c r="B90" s="6">
        <v>204200</v>
      </c>
      <c r="C90" s="6">
        <v>11</v>
      </c>
      <c r="D90">
        <f t="shared" si="0"/>
        <v>18563.636363636364</v>
      </c>
    </row>
    <row r="91" spans="1:4">
      <c r="A91">
        <v>10</v>
      </c>
      <c r="B91" s="6">
        <v>80200</v>
      </c>
      <c r="C91" s="6">
        <v>12</v>
      </c>
      <c r="D91">
        <f t="shared" si="0"/>
        <v>6683.333333333333</v>
      </c>
    </row>
    <row r="92" spans="1:4">
      <c r="A92">
        <v>11</v>
      </c>
      <c r="B92" s="6">
        <v>62900</v>
      </c>
      <c r="C92" s="6">
        <v>8</v>
      </c>
      <c r="D92">
        <f t="shared" si="0"/>
        <v>7862.5</v>
      </c>
    </row>
    <row r="93" spans="1:4">
      <c r="A93">
        <v>12</v>
      </c>
      <c r="B93" s="6">
        <v>166200</v>
      </c>
      <c r="C93" s="6">
        <v>18</v>
      </c>
      <c r="D93">
        <f t="shared" si="0"/>
        <v>9233.3333333333339</v>
      </c>
    </row>
    <row r="94" spans="1:4">
      <c r="A94" t="s">
        <v>94</v>
      </c>
      <c r="B94" s="6">
        <v>1965300</v>
      </c>
      <c r="C94" s="6">
        <v>150</v>
      </c>
      <c r="D94" s="11">
        <f t="shared" si="0"/>
        <v>13102</v>
      </c>
    </row>
    <row r="96" spans="1:4" ht="15.75">
      <c r="A96" s="16" t="s">
        <v>106</v>
      </c>
    </row>
    <row r="98" spans="1:3">
      <c r="A98" s="7" t="s">
        <v>47</v>
      </c>
      <c r="B98" t="s">
        <v>107</v>
      </c>
      <c r="C98" s="8" t="s">
        <v>108</v>
      </c>
    </row>
    <row r="99" spans="1:3">
      <c r="A99">
        <v>118</v>
      </c>
      <c r="B99" s="6">
        <v>29</v>
      </c>
      <c r="C99" t="str">
        <f>_xlfn.XLOOKUP(A99,Products!A:A,Products!B:B)</f>
        <v>Dumbbells</v>
      </c>
    </row>
    <row r="100" spans="1:3">
      <c r="A100">
        <v>108</v>
      </c>
      <c r="B100" s="6">
        <v>23</v>
      </c>
      <c r="C100" t="str">
        <f>_xlfn.XLOOKUP(A100,Products!A:A,Products!B:B)</f>
        <v>Power Bank</v>
      </c>
    </row>
    <row r="101" spans="1:3">
      <c r="A101">
        <v>113</v>
      </c>
      <c r="B101" s="6">
        <v>22</v>
      </c>
      <c r="C101" t="str">
        <f>_xlfn.XLOOKUP(A101,Products!A:A,Products!B:B)</f>
        <v>Backpack</v>
      </c>
    </row>
    <row r="102" spans="1:3">
      <c r="A102">
        <v>107</v>
      </c>
      <c r="B102" s="6">
        <v>20</v>
      </c>
      <c r="C102" t="str">
        <f>_xlfn.XLOOKUP(A102,Products!A:A,Products!B:B)</f>
        <v>Phone Stand</v>
      </c>
    </row>
    <row r="103" spans="1:3">
      <c r="A103">
        <v>102</v>
      </c>
      <c r="B103" s="6">
        <v>18</v>
      </c>
      <c r="C103" t="str">
        <f>_xlfn.XLOOKUP(A103,Products!A:A,Products!B:B)</f>
        <v>Wireless Mouse</v>
      </c>
    </row>
    <row r="104" spans="1:3">
      <c r="A104">
        <v>112</v>
      </c>
      <c r="B104" s="6">
        <v>18</v>
      </c>
      <c r="C104" t="str">
        <f>_xlfn.XLOOKUP(A104,Products!A:A,Products!B:B)</f>
        <v>Table Lamp</v>
      </c>
    </row>
    <row r="105" spans="1:3">
      <c r="A105">
        <v>114</v>
      </c>
      <c r="B105" s="6">
        <v>18</v>
      </c>
      <c r="C105" t="str">
        <f>_xlfn.XLOOKUP(A105,Products!A:A,Products!B:B)</f>
        <v>Travel Bag</v>
      </c>
    </row>
    <row r="106" spans="1:3">
      <c r="A106">
        <v>120</v>
      </c>
      <c r="B106" s="6">
        <v>17</v>
      </c>
      <c r="C106" t="str">
        <f>_xlfn.XLOOKUP(A106,Products!A:A,Products!B:B)</f>
        <v>Jeans</v>
      </c>
    </row>
    <row r="107" spans="1:3">
      <c r="A107">
        <v>109</v>
      </c>
      <c r="B107" s="6">
        <v>17</v>
      </c>
      <c r="C107" t="str">
        <f>_xlfn.XLOOKUP(A107,Products!A:A,Products!B:B)</f>
        <v>Office Chair</v>
      </c>
    </row>
    <row r="108" spans="1:3">
      <c r="A108">
        <v>115</v>
      </c>
      <c r="B108" s="6">
        <v>17</v>
      </c>
      <c r="C108" t="str">
        <f>_xlfn.XLOOKUP(A108,Products!A:A,Products!B:B)</f>
        <v>Wallet</v>
      </c>
    </row>
    <row r="109" spans="1:3">
      <c r="A109">
        <v>117</v>
      </c>
      <c r="B109" s="6">
        <v>17</v>
      </c>
      <c r="C109" t="str">
        <f>_xlfn.XLOOKUP(A109,Products!A:A,Products!B:B)</f>
        <v>Yoga Mat</v>
      </c>
    </row>
    <row r="110" spans="1:3">
      <c r="A110" t="s">
        <v>94</v>
      </c>
      <c r="B110" s="6">
        <v>216</v>
      </c>
    </row>
    <row r="112" spans="1:3" ht="15.75">
      <c r="A112" s="16" t="s">
        <v>109</v>
      </c>
    </row>
    <row r="114" spans="1:3">
      <c r="A114" s="7" t="s">
        <v>0</v>
      </c>
      <c r="B114" t="s">
        <v>93</v>
      </c>
      <c r="C114" s="8" t="s">
        <v>110</v>
      </c>
    </row>
    <row r="115" spans="1:3">
      <c r="A115">
        <v>1</v>
      </c>
      <c r="B115" s="6">
        <v>12100</v>
      </c>
      <c r="C115" t="str">
        <f>_xlfn.XLOOKUP(A115,Customers!A:A,Customers!B:B)</f>
        <v>Aarav Shah</v>
      </c>
    </row>
    <row r="116" spans="1:3">
      <c r="A116">
        <v>2</v>
      </c>
      <c r="B116" s="6">
        <v>54300</v>
      </c>
      <c r="C116" t="str">
        <f>_xlfn.XLOOKUP(A116,Customers!A:A,Customers!B:B)</f>
        <v>Diya Patel</v>
      </c>
    </row>
    <row r="117" spans="1:3">
      <c r="A117">
        <v>3</v>
      </c>
      <c r="B117" s="6">
        <v>28700</v>
      </c>
      <c r="C117" t="str">
        <f>_xlfn.XLOOKUP(A117,Customers!A:A,Customers!B:B)</f>
        <v>Rohan Mehta</v>
      </c>
    </row>
    <row r="118" spans="1:3">
      <c r="A118">
        <v>4</v>
      </c>
      <c r="B118" s="6">
        <v>48800</v>
      </c>
      <c r="C118" t="str">
        <f>_xlfn.XLOOKUP(A118,Customers!A:A,Customers!B:B)</f>
        <v>Ananya Joshi</v>
      </c>
    </row>
    <row r="119" spans="1:3">
      <c r="A119">
        <v>5</v>
      </c>
      <c r="B119" s="6">
        <v>70900</v>
      </c>
      <c r="C119" t="str">
        <f>_xlfn.XLOOKUP(A119,Customers!A:A,Customers!B:B)</f>
        <v>Vivaan Desai</v>
      </c>
    </row>
    <row r="120" spans="1:3">
      <c r="A120">
        <v>6</v>
      </c>
      <c r="B120" s="6">
        <v>62400</v>
      </c>
      <c r="C120" t="str">
        <f>_xlfn.XLOOKUP(A120,Customers!A:A,Customers!B:B)</f>
        <v>Isha Shah</v>
      </c>
    </row>
    <row r="121" spans="1:3">
      <c r="A121">
        <v>7</v>
      </c>
      <c r="B121" s="6">
        <v>18500</v>
      </c>
      <c r="C121" t="str">
        <f>_xlfn.XLOOKUP(A121,Customers!A:A,Customers!B:B)</f>
        <v>Aditya Patel</v>
      </c>
    </row>
    <row r="122" spans="1:3">
      <c r="A122">
        <v>8</v>
      </c>
      <c r="B122" s="6">
        <v>99500</v>
      </c>
      <c r="C122" t="str">
        <f>_xlfn.XLOOKUP(A122,Customers!A:A,Customers!B:B)</f>
        <v>Meera Mehta</v>
      </c>
    </row>
    <row r="123" spans="1:3">
      <c r="A123">
        <v>9</v>
      </c>
      <c r="B123" s="6">
        <v>56600</v>
      </c>
      <c r="C123" t="str">
        <f>_xlfn.XLOOKUP(A123,Customers!A:A,Customers!B:B)</f>
        <v>Arjun Desai</v>
      </c>
    </row>
    <row r="124" spans="1:3">
      <c r="A124">
        <v>10</v>
      </c>
      <c r="B124" s="6">
        <v>35500</v>
      </c>
      <c r="C124" t="str">
        <f>_xlfn.XLOOKUP(A124,Customers!A:A,Customers!B:B)</f>
        <v>Kiara Joshi</v>
      </c>
    </row>
    <row r="125" spans="1:3">
      <c r="A125">
        <v>11</v>
      </c>
      <c r="B125" s="6">
        <v>28400</v>
      </c>
      <c r="C125" t="str">
        <f>_xlfn.XLOOKUP(A125,Customers!A:A,Customers!B:B)</f>
        <v>Kabir Shah</v>
      </c>
    </row>
    <row r="126" spans="1:3">
      <c r="A126">
        <v>12</v>
      </c>
      <c r="B126" s="6">
        <v>87000</v>
      </c>
      <c r="C126" t="str">
        <f>_xlfn.XLOOKUP(A126,Customers!A:A,Customers!B:B)</f>
        <v>Riya Patel</v>
      </c>
    </row>
    <row r="127" spans="1:3">
      <c r="A127">
        <v>13</v>
      </c>
      <c r="B127" s="6">
        <v>172900</v>
      </c>
      <c r="C127" t="str">
        <f>_xlfn.XLOOKUP(A127,Customers!A:A,Customers!B:B)</f>
        <v>Dev Mehta</v>
      </c>
    </row>
    <row r="128" spans="1:3">
      <c r="A128">
        <v>14</v>
      </c>
      <c r="B128" s="6">
        <v>158900</v>
      </c>
      <c r="C128" t="str">
        <f>_xlfn.XLOOKUP(A128,Customers!A:A,Customers!B:B)</f>
        <v>Sara Desai</v>
      </c>
    </row>
    <row r="129" spans="1:3">
      <c r="A129">
        <v>15</v>
      </c>
      <c r="B129" s="6">
        <v>238600</v>
      </c>
      <c r="C129" t="str">
        <f>_xlfn.XLOOKUP(A129,Customers!A:A,Customers!B:B)</f>
        <v>Neil Joshi</v>
      </c>
    </row>
    <row r="130" spans="1:3">
      <c r="A130">
        <v>16</v>
      </c>
      <c r="B130" s="6">
        <v>413500</v>
      </c>
      <c r="C130" t="str">
        <f>_xlfn.XLOOKUP(A130,Customers!A:A,Customers!B:B)</f>
        <v>Tara Shah</v>
      </c>
    </row>
    <row r="131" spans="1:3">
      <c r="A131">
        <v>17</v>
      </c>
      <c r="B131" s="6">
        <v>34500</v>
      </c>
      <c r="C131" t="str">
        <f>_xlfn.XLOOKUP(A131,Customers!A:A,Customers!B:B)</f>
        <v>Yash Patel</v>
      </c>
    </row>
    <row r="132" spans="1:3">
      <c r="A132">
        <v>18</v>
      </c>
      <c r="B132" s="6">
        <v>244700</v>
      </c>
      <c r="C132" t="str">
        <f>_xlfn.XLOOKUP(A132,Customers!A:A,Customers!B:B)</f>
        <v>Nisha Mehta</v>
      </c>
    </row>
    <row r="133" spans="1:3">
      <c r="A133">
        <v>19</v>
      </c>
      <c r="B133" s="6">
        <v>52300</v>
      </c>
      <c r="C133" t="str">
        <f>_xlfn.XLOOKUP(A133,Customers!A:A,Customers!B:B)</f>
        <v>Raj Desai</v>
      </c>
    </row>
    <row r="134" spans="1:3">
      <c r="A134">
        <v>20</v>
      </c>
      <c r="B134" s="6">
        <v>47200</v>
      </c>
      <c r="C134" t="str">
        <f>_xlfn.XLOOKUP(A134,Customers!A:A,Customers!B:B)</f>
        <v>Aanya Joshi</v>
      </c>
    </row>
    <row r="135" spans="1:3">
      <c r="A135" t="s">
        <v>94</v>
      </c>
      <c r="B135" s="6">
        <v>1965300</v>
      </c>
    </row>
    <row r="137" spans="1:3" ht="15.75">
      <c r="A137" s="16" t="s">
        <v>111</v>
      </c>
    </row>
    <row r="139" spans="1:3">
      <c r="A139" s="7" t="s">
        <v>0</v>
      </c>
      <c r="B139" t="s">
        <v>93</v>
      </c>
      <c r="C139" s="12" t="s">
        <v>110</v>
      </c>
    </row>
    <row r="140" spans="1:3">
      <c r="A140">
        <v>13</v>
      </c>
      <c r="B140" s="6">
        <v>172900</v>
      </c>
      <c r="C140" t="str">
        <f>_xlfn.XLOOKUP(A140,Customers!A:A,Customers!B:B)</f>
        <v>Dev Mehta</v>
      </c>
    </row>
    <row r="141" spans="1:3">
      <c r="A141">
        <v>14</v>
      </c>
      <c r="B141" s="6">
        <v>158900</v>
      </c>
      <c r="C141" t="str">
        <f>_xlfn.XLOOKUP(A141,Customers!A:A,Customers!B:B)</f>
        <v>Sara Desai</v>
      </c>
    </row>
    <row r="142" spans="1:3">
      <c r="A142">
        <v>15</v>
      </c>
      <c r="B142" s="6">
        <v>238600</v>
      </c>
      <c r="C142" t="str">
        <f>_xlfn.XLOOKUP(A142,Customers!A:A,Customers!B:B)</f>
        <v>Neil Joshi</v>
      </c>
    </row>
    <row r="143" spans="1:3">
      <c r="A143">
        <v>16</v>
      </c>
      <c r="B143" s="6">
        <v>413500</v>
      </c>
      <c r="C143" t="str">
        <f>_xlfn.XLOOKUP(A143,Customers!A:A,Customers!B:B)</f>
        <v>Tara Shah</v>
      </c>
    </row>
    <row r="144" spans="1:3">
      <c r="A144">
        <v>18</v>
      </c>
      <c r="B144" s="6">
        <v>244700</v>
      </c>
      <c r="C144" t="str">
        <f>_xlfn.XLOOKUP(A144,Customers!A:A,Customers!B:B)</f>
        <v>Nisha Mehta</v>
      </c>
    </row>
    <row r="145" spans="1:2">
      <c r="A145" t="s">
        <v>94</v>
      </c>
      <c r="B145" s="6">
        <v>1228600</v>
      </c>
    </row>
  </sheetData>
  <pageMargins left="0.7" right="0.7" top="0.75" bottom="0.75" header="0.3" footer="0.3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D416-6566-4DE4-8C41-47AA4C783B92}">
  <dimension ref="A1:AA93"/>
  <sheetViews>
    <sheetView showGridLines="0" tabSelected="1" topLeftCell="H1" workbookViewId="0">
      <selection activeCell="I1" sqref="I1:AA1"/>
    </sheetView>
  </sheetViews>
  <sheetFormatPr defaultRowHeight="15"/>
  <cols>
    <col min="1" max="1" width="14.140625" customWidth="1"/>
    <col min="2" max="2" width="22.140625" customWidth="1"/>
    <col min="3" max="3" width="25.42578125" customWidth="1"/>
    <col min="4" max="4" width="21.7109375" customWidth="1"/>
    <col min="5" max="5" width="13.28515625" customWidth="1"/>
    <col min="6" max="6" width="39" customWidth="1"/>
    <col min="8" max="8" width="45.140625" customWidth="1"/>
    <col min="9" max="9" width="12" customWidth="1"/>
    <col min="12" max="12" width="15.28515625" customWidth="1"/>
  </cols>
  <sheetData>
    <row r="1" spans="1:27" s="28" customFormat="1" ht="28.5" customHeight="1">
      <c r="A1" s="30"/>
      <c r="B1" s="30"/>
      <c r="C1" s="30"/>
      <c r="D1" s="30" t="s">
        <v>112</v>
      </c>
      <c r="E1" s="30"/>
      <c r="F1" s="29"/>
      <c r="G1" s="30"/>
      <c r="H1" s="30"/>
      <c r="I1" s="53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ht="21" customHeight="1">
      <c r="A2" s="36" t="s">
        <v>113</v>
      </c>
      <c r="B2" s="37"/>
      <c r="C2" s="40" t="s">
        <v>114</v>
      </c>
      <c r="D2" s="41"/>
      <c r="E2" s="44" t="s">
        <v>115</v>
      </c>
      <c r="F2" s="45"/>
      <c r="G2" s="31" t="s">
        <v>116</v>
      </c>
      <c r="H2" s="32"/>
    </row>
    <row r="3" spans="1:27" ht="21.75" customHeight="1">
      <c r="A3" s="38">
        <v>1965300</v>
      </c>
      <c r="B3" s="39"/>
      <c r="C3" s="42">
        <v>150</v>
      </c>
      <c r="D3" s="43"/>
      <c r="E3" s="46">
        <v>13102</v>
      </c>
      <c r="F3" s="47"/>
      <c r="G3" s="33">
        <v>25</v>
      </c>
      <c r="H3" s="34"/>
    </row>
    <row r="4" spans="1:27" ht="23.25" customHeight="1">
      <c r="A4" s="49" t="s">
        <v>117</v>
      </c>
      <c r="B4" s="49"/>
      <c r="E4" s="50" t="s">
        <v>118</v>
      </c>
    </row>
    <row r="7" spans="1:27" ht="23.25">
      <c r="A7" s="4"/>
      <c r="B7" s="4"/>
      <c r="C7" s="27"/>
      <c r="D7" s="27"/>
      <c r="E7" s="27"/>
    </row>
    <row r="8" spans="1:27" ht="18.75">
      <c r="H8" s="35"/>
      <c r="I8" s="35"/>
    </row>
    <row r="18" spans="1:8" ht="18.75">
      <c r="A18" s="48" t="s">
        <v>119</v>
      </c>
      <c r="B18" s="51"/>
      <c r="E18" s="48" t="s">
        <v>120</v>
      </c>
      <c r="F18" s="52"/>
    </row>
    <row r="29" spans="1:8" ht="18.75">
      <c r="H29" s="19"/>
    </row>
    <row r="34" spans="1:2" ht="18.75">
      <c r="A34" s="48" t="s">
        <v>121</v>
      </c>
      <c r="B34" s="51"/>
    </row>
    <row r="38" spans="1:2">
      <c r="A38" s="17"/>
      <c r="B38" s="18"/>
    </row>
    <row r="39" spans="1:2">
      <c r="A39" s="17"/>
      <c r="B39" s="18"/>
    </row>
    <row r="40" spans="1:2">
      <c r="A40" s="17"/>
      <c r="B40" s="18"/>
    </row>
    <row r="41" spans="1:2">
      <c r="A41" s="17"/>
      <c r="B41" s="18"/>
    </row>
    <row r="42" spans="1:2">
      <c r="A42" s="17"/>
      <c r="B42" s="18"/>
    </row>
    <row r="43" spans="1:2">
      <c r="A43" s="17"/>
      <c r="B43" s="18"/>
    </row>
    <row r="54" spans="1:2">
      <c r="A54" s="1"/>
      <c r="B54" s="9"/>
    </row>
    <row r="55" spans="1:2">
      <c r="A55" s="1"/>
      <c r="B55" s="9"/>
    </row>
    <row r="56" spans="1:2">
      <c r="A56" s="1"/>
      <c r="B56" s="9"/>
    </row>
    <row r="57" spans="1:2">
      <c r="A57" s="1"/>
      <c r="B57" s="9"/>
    </row>
    <row r="58" spans="1:2">
      <c r="A58" s="1"/>
      <c r="B58" s="9"/>
    </row>
    <row r="59" spans="1:2">
      <c r="A59" s="1"/>
      <c r="B59" s="9"/>
    </row>
    <row r="60" spans="1:2">
      <c r="A60" s="1"/>
      <c r="B60" s="9"/>
    </row>
    <row r="61" spans="1:2">
      <c r="A61" s="1"/>
      <c r="B61" s="9"/>
    </row>
    <row r="62" spans="1:2">
      <c r="A62" s="1"/>
      <c r="B62" s="9"/>
    </row>
    <row r="63" spans="1:2">
      <c r="A63" s="1"/>
      <c r="B63" s="9"/>
    </row>
    <row r="64" spans="1:2">
      <c r="A64" s="1"/>
      <c r="B64" s="9"/>
    </row>
    <row r="71" spans="1:9" ht="18.75">
      <c r="I71" s="20"/>
    </row>
    <row r="72" spans="1:9">
      <c r="A72" s="22"/>
      <c r="B72" s="22"/>
    </row>
    <row r="73" spans="1:9">
      <c r="A73" s="22"/>
      <c r="B73" s="22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</sheetData>
  <mergeCells count="10">
    <mergeCell ref="A4:B4"/>
    <mergeCell ref="G2:H2"/>
    <mergeCell ref="G3:H3"/>
    <mergeCell ref="H8:I8"/>
    <mergeCell ref="A2:B2"/>
    <mergeCell ref="A3:B3"/>
    <mergeCell ref="C2:D2"/>
    <mergeCell ref="C3:D3"/>
    <mergeCell ref="E2:F2"/>
    <mergeCell ref="E3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97EB-E45D-43D5-B4D4-C899823E87BB}">
  <dimension ref="A3:B10"/>
  <sheetViews>
    <sheetView workbookViewId="0">
      <selection activeCell="A3" sqref="A3:B10"/>
    </sheetView>
  </sheetViews>
  <sheetFormatPr defaultRowHeight="15"/>
  <cols>
    <col min="1" max="1" width="16.42578125" bestFit="1" customWidth="1"/>
    <col min="2" max="2" width="14.7109375" bestFit="1" customWidth="1"/>
  </cols>
  <sheetData>
    <row r="3" spans="1:2">
      <c r="A3" s="7" t="s">
        <v>52</v>
      </c>
      <c r="B3" t="s">
        <v>93</v>
      </c>
    </row>
    <row r="4" spans="1:2">
      <c r="A4" t="s">
        <v>71</v>
      </c>
      <c r="B4" s="6">
        <v>131500</v>
      </c>
    </row>
    <row r="5" spans="1:2">
      <c r="A5" t="s">
        <v>79</v>
      </c>
      <c r="B5" s="6">
        <v>85100</v>
      </c>
    </row>
    <row r="6" spans="1:2">
      <c r="A6" t="s">
        <v>60</v>
      </c>
      <c r="B6" s="6">
        <v>1067700</v>
      </c>
    </row>
    <row r="7" spans="1:2">
      <c r="A7" t="s">
        <v>62</v>
      </c>
      <c r="B7" s="6">
        <v>358900</v>
      </c>
    </row>
    <row r="8" spans="1:2">
      <c r="A8" t="s">
        <v>64</v>
      </c>
      <c r="B8" s="6">
        <v>186000</v>
      </c>
    </row>
    <row r="9" spans="1:2">
      <c r="A9" t="s">
        <v>66</v>
      </c>
      <c r="B9" s="6">
        <v>136100</v>
      </c>
    </row>
    <row r="10" spans="1:2">
      <c r="A10" t="s">
        <v>94</v>
      </c>
      <c r="B10" s="6">
        <v>1965300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08BC-42FD-46A1-BEAE-A553BA35BFFF}">
  <dimension ref="A3:C14"/>
  <sheetViews>
    <sheetView workbookViewId="0">
      <selection activeCell="H8" sqref="H8:H18"/>
    </sheetView>
  </sheetViews>
  <sheetFormatPr defaultRowHeight="15"/>
  <cols>
    <col min="1" max="1" width="15.42578125" bestFit="1" customWidth="1"/>
    <col min="2" max="2" width="14.7109375" bestFit="1" customWidth="1"/>
    <col min="3" max="3" width="15.140625" bestFit="1" customWidth="1"/>
    <col min="8" max="8" width="15.42578125" bestFit="1" customWidth="1"/>
  </cols>
  <sheetData>
    <row r="3" spans="1:3">
      <c r="A3" s="7" t="s">
        <v>0</v>
      </c>
      <c r="B3" t="s">
        <v>93</v>
      </c>
      <c r="C3" s="8" t="s">
        <v>99</v>
      </c>
    </row>
    <row r="4" spans="1:3">
      <c r="A4">
        <v>16</v>
      </c>
      <c r="B4" s="6">
        <v>413500</v>
      </c>
      <c r="C4" t="str">
        <f>_xlfn.XLOOKUP(A4,Customers!A:A,Customers!B:B)</f>
        <v>Tara Shah</v>
      </c>
    </row>
    <row r="5" spans="1:3">
      <c r="A5">
        <v>18</v>
      </c>
      <c r="B5" s="6">
        <v>244700</v>
      </c>
      <c r="C5" t="str">
        <f>_xlfn.XLOOKUP(A5,Customers!A:A,Customers!B:B)</f>
        <v>Nisha Mehta</v>
      </c>
    </row>
    <row r="6" spans="1:3">
      <c r="A6">
        <v>15</v>
      </c>
      <c r="B6" s="6">
        <v>238600</v>
      </c>
      <c r="C6" t="str">
        <f>_xlfn.XLOOKUP(A6,Customers!A:A,Customers!B:B)</f>
        <v>Neil Joshi</v>
      </c>
    </row>
    <row r="7" spans="1:3">
      <c r="A7">
        <v>13</v>
      </c>
      <c r="B7" s="6">
        <v>172900</v>
      </c>
      <c r="C7" t="str">
        <f>_xlfn.XLOOKUP(A7,Customers!A:A,Customers!B:B)</f>
        <v>Dev Mehta</v>
      </c>
    </row>
    <row r="8" spans="1:3">
      <c r="A8">
        <v>14</v>
      </c>
      <c r="B8" s="6">
        <v>158900</v>
      </c>
      <c r="C8" t="str">
        <f>_xlfn.XLOOKUP(A8,Customers!A:A,Customers!B:B)</f>
        <v>Sara Desai</v>
      </c>
    </row>
    <row r="9" spans="1:3">
      <c r="A9">
        <v>8</v>
      </c>
      <c r="B9" s="6">
        <v>99500</v>
      </c>
      <c r="C9" t="str">
        <f>_xlfn.XLOOKUP(A9,Customers!A:A,Customers!B:B)</f>
        <v>Meera Mehta</v>
      </c>
    </row>
    <row r="10" spans="1:3">
      <c r="A10">
        <v>12</v>
      </c>
      <c r="B10" s="6">
        <v>87000</v>
      </c>
      <c r="C10" t="str">
        <f>_xlfn.XLOOKUP(A10,Customers!A:A,Customers!B:B)</f>
        <v>Riya Patel</v>
      </c>
    </row>
    <row r="11" spans="1:3">
      <c r="A11">
        <v>5</v>
      </c>
      <c r="B11" s="6">
        <v>70900</v>
      </c>
      <c r="C11" t="str">
        <f>_xlfn.XLOOKUP(A11,Customers!A:A,Customers!B:B)</f>
        <v>Vivaan Desai</v>
      </c>
    </row>
    <row r="12" spans="1:3">
      <c r="A12">
        <v>6</v>
      </c>
      <c r="B12" s="6">
        <v>62400</v>
      </c>
      <c r="C12" t="str">
        <f>_xlfn.XLOOKUP(A12,Customers!A:A,Customers!B:B)</f>
        <v>Isha Shah</v>
      </c>
    </row>
    <row r="13" spans="1:3">
      <c r="A13">
        <v>9</v>
      </c>
      <c r="B13" s="6">
        <v>56600</v>
      </c>
      <c r="C13" t="str">
        <f>_xlfn.XLOOKUP(A13,Customers!A:A,Customers!B:B)</f>
        <v>Arjun Desai</v>
      </c>
    </row>
    <row r="14" spans="1:3">
      <c r="A14" t="s">
        <v>94</v>
      </c>
      <c r="B14" s="6">
        <v>1605000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3DB1-64C6-4F37-9FF9-B08F5D9A6B4F}">
  <dimension ref="A1:E11"/>
  <sheetViews>
    <sheetView workbookViewId="0">
      <selection sqref="A1:E11"/>
    </sheetView>
  </sheetViews>
  <sheetFormatPr defaultRowHeight="15"/>
  <cols>
    <col min="1" max="1" width="13.140625" bestFit="1" customWidth="1"/>
    <col min="2" max="2" width="21.7109375" bestFit="1" customWidth="1"/>
    <col min="3" max="3" width="16.42578125" bestFit="1" customWidth="1"/>
    <col min="5" max="5" width="14.7109375" bestFit="1" customWidth="1"/>
  </cols>
  <sheetData>
    <row r="1" spans="1:5">
      <c r="A1" s="1" t="s">
        <v>47</v>
      </c>
      <c r="B1" s="1" t="s">
        <v>55</v>
      </c>
      <c r="C1" s="1" t="s">
        <v>56</v>
      </c>
      <c r="D1" s="1" t="s">
        <v>57</v>
      </c>
      <c r="E1" s="9" t="s">
        <v>58</v>
      </c>
    </row>
    <row r="2" spans="1:5">
      <c r="A2" s="1">
        <v>101</v>
      </c>
      <c r="B2" s="1" t="s">
        <v>59</v>
      </c>
      <c r="C2" s="1" t="s">
        <v>60</v>
      </c>
      <c r="D2" s="1">
        <v>65000</v>
      </c>
      <c r="E2" s="9">
        <f>SUMIF(Orders!C:C,A2,Orders!G:G)</f>
        <v>780000</v>
      </c>
    </row>
    <row r="3" spans="1:5">
      <c r="A3" s="1">
        <v>109</v>
      </c>
      <c r="B3" s="1" t="s">
        <v>61</v>
      </c>
      <c r="C3" s="1" t="s">
        <v>62</v>
      </c>
      <c r="D3" s="1">
        <v>12000</v>
      </c>
      <c r="E3" s="9">
        <f>SUMIF(Orders!C:C,A3,Orders!G:G)</f>
        <v>204000</v>
      </c>
    </row>
    <row r="4" spans="1:5">
      <c r="A4" s="1">
        <v>124</v>
      </c>
      <c r="B4" s="1" t="s">
        <v>63</v>
      </c>
      <c r="C4" s="1" t="s">
        <v>64</v>
      </c>
      <c r="D4" s="1">
        <v>6200</v>
      </c>
      <c r="E4" s="9">
        <f>SUMIF(Orders!C:C,A4,Orders!G:G)</f>
        <v>93000</v>
      </c>
    </row>
    <row r="5" spans="1:5">
      <c r="A5" s="1">
        <v>118</v>
      </c>
      <c r="B5" s="1" t="s">
        <v>65</v>
      </c>
      <c r="C5" s="1" t="s">
        <v>66</v>
      </c>
      <c r="D5" s="1">
        <v>2500</v>
      </c>
      <c r="E5" s="9">
        <f>SUMIF(Orders!C:C,A5,Orders!G:G)</f>
        <v>72500</v>
      </c>
    </row>
    <row r="6" spans="1:5">
      <c r="A6" s="1">
        <v>110</v>
      </c>
      <c r="B6" s="1" t="s">
        <v>67</v>
      </c>
      <c r="C6" s="1" t="s">
        <v>62</v>
      </c>
      <c r="D6" s="1">
        <v>9500</v>
      </c>
      <c r="E6" s="9">
        <f>SUMIF(Orders!C:C,A6,Orders!G:G)</f>
        <v>66500</v>
      </c>
    </row>
    <row r="7" spans="1:5">
      <c r="A7" s="1">
        <v>123</v>
      </c>
      <c r="B7" s="1" t="s">
        <v>68</v>
      </c>
      <c r="C7" s="1" t="s">
        <v>64</v>
      </c>
      <c r="D7" s="1">
        <v>5500</v>
      </c>
      <c r="E7" s="9">
        <f>SUMIF(Orders!C:C,A7,Orders!G:G)</f>
        <v>66000</v>
      </c>
    </row>
    <row r="8" spans="1:5">
      <c r="A8" s="1">
        <v>105</v>
      </c>
      <c r="B8" s="1" t="s">
        <v>69</v>
      </c>
      <c r="C8" s="1" t="s">
        <v>60</v>
      </c>
      <c r="D8" s="1">
        <v>4500</v>
      </c>
      <c r="E8" s="9">
        <f>SUMIF(Orders!C:C,A8,Orders!G:G)</f>
        <v>63000</v>
      </c>
    </row>
    <row r="9" spans="1:5">
      <c r="A9" s="1">
        <v>114</v>
      </c>
      <c r="B9" s="1" t="s">
        <v>70</v>
      </c>
      <c r="C9" s="1" t="s">
        <v>71</v>
      </c>
      <c r="D9" s="1">
        <v>3200</v>
      </c>
      <c r="E9" s="9">
        <f>SUMIF(Orders!C:C,A9,Orders!G:G)</f>
        <v>57600</v>
      </c>
    </row>
    <row r="10" spans="1:5">
      <c r="A10" s="1">
        <v>103</v>
      </c>
      <c r="B10" s="1" t="s">
        <v>72</v>
      </c>
      <c r="C10" s="1" t="s">
        <v>60</v>
      </c>
      <c r="D10" s="1">
        <v>3500</v>
      </c>
      <c r="E10" s="9">
        <f>SUMIF(Orders!C:C,A10,Orders!G:G)</f>
        <v>56000</v>
      </c>
    </row>
    <row r="11" spans="1:5">
      <c r="A11" s="1">
        <v>111</v>
      </c>
      <c r="B11" s="1" t="s">
        <v>73</v>
      </c>
      <c r="C11" s="1" t="s">
        <v>62</v>
      </c>
      <c r="D11" s="1">
        <v>7000</v>
      </c>
      <c r="E11" s="9">
        <f>SUMIF(Orders!C:C,A11,Orders!G:G)</f>
        <v>56000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165D-EDFD-4EB0-A3C5-3CC69758EA58}">
  <dimension ref="A3:C9"/>
  <sheetViews>
    <sheetView workbookViewId="0">
      <selection activeCell="A3" sqref="A3:C9"/>
    </sheetView>
  </sheetViews>
  <sheetFormatPr defaultRowHeight="15"/>
  <cols>
    <col min="1" max="1" width="15.42578125" bestFit="1" customWidth="1"/>
    <col min="2" max="2" width="14.7109375" bestFit="1" customWidth="1"/>
    <col min="3" max="3" width="15.7109375" bestFit="1" customWidth="1"/>
  </cols>
  <sheetData>
    <row r="3" spans="1:3">
      <c r="A3" s="7" t="s">
        <v>0</v>
      </c>
      <c r="B3" t="s">
        <v>93</v>
      </c>
      <c r="C3" s="12" t="s">
        <v>110</v>
      </c>
    </row>
    <row r="4" spans="1:3">
      <c r="A4">
        <v>13</v>
      </c>
      <c r="B4" s="6">
        <v>172900</v>
      </c>
      <c r="C4" t="str">
        <f>_xlfn.XLOOKUP(A4,Customers!A:A,Customers!B:B)</f>
        <v>Dev Mehta</v>
      </c>
    </row>
    <row r="5" spans="1:3">
      <c r="A5">
        <v>14</v>
      </c>
      <c r="B5" s="6">
        <v>158900</v>
      </c>
      <c r="C5" t="str">
        <f>_xlfn.XLOOKUP(A5,Customers!A:A,Customers!B:B)</f>
        <v>Sara Desai</v>
      </c>
    </row>
    <row r="6" spans="1:3">
      <c r="A6">
        <v>15</v>
      </c>
      <c r="B6" s="6">
        <v>238600</v>
      </c>
      <c r="C6" t="str">
        <f>_xlfn.XLOOKUP(A6,Customers!A:A,Customers!B:B)</f>
        <v>Neil Joshi</v>
      </c>
    </row>
    <row r="7" spans="1:3">
      <c r="A7">
        <v>16</v>
      </c>
      <c r="B7" s="6">
        <v>413500</v>
      </c>
      <c r="C7" t="str">
        <f>_xlfn.XLOOKUP(A7,Customers!A:A,Customers!B:B)</f>
        <v>Tara Shah</v>
      </c>
    </row>
    <row r="8" spans="1:3">
      <c r="A8">
        <v>18</v>
      </c>
      <c r="B8" s="6">
        <v>244700</v>
      </c>
      <c r="C8" t="str">
        <f>_xlfn.XLOOKUP(A8,Customers!A:A,Customers!B:B)</f>
        <v>Nisha Mehta</v>
      </c>
    </row>
    <row r="9" spans="1:3">
      <c r="A9" t="s">
        <v>94</v>
      </c>
      <c r="B9" s="6">
        <v>1228600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531B-A6B7-4E08-88E3-EEB754AD5F58}">
  <dimension ref="A3:C24"/>
  <sheetViews>
    <sheetView workbookViewId="0">
      <selection activeCell="C4" sqref="C4:C23"/>
    </sheetView>
  </sheetViews>
  <sheetFormatPr defaultRowHeight="15"/>
  <cols>
    <col min="1" max="1" width="15.42578125" bestFit="1" customWidth="1"/>
    <col min="2" max="2" width="16.5703125" bestFit="1" customWidth="1"/>
    <col min="3" max="3" width="15.7109375" bestFit="1" customWidth="1"/>
  </cols>
  <sheetData>
    <row r="3" spans="1:3">
      <c r="A3" s="7" t="s">
        <v>0</v>
      </c>
      <c r="B3" t="s">
        <v>93</v>
      </c>
      <c r="C3" s="8" t="s">
        <v>110</v>
      </c>
    </row>
    <row r="4" spans="1:3">
      <c r="A4">
        <v>1</v>
      </c>
      <c r="B4" s="6">
        <v>12100</v>
      </c>
      <c r="C4" t="s">
        <v>4</v>
      </c>
    </row>
    <row r="5" spans="1:3">
      <c r="A5">
        <v>2</v>
      </c>
      <c r="B5" s="6">
        <v>54300</v>
      </c>
      <c r="C5" t="s">
        <v>6</v>
      </c>
    </row>
    <row r="6" spans="1:3">
      <c r="A6">
        <v>3</v>
      </c>
      <c r="B6" s="6">
        <v>28700</v>
      </c>
      <c r="C6" t="s">
        <v>9</v>
      </c>
    </row>
    <row r="7" spans="1:3">
      <c r="A7">
        <v>4</v>
      </c>
      <c r="B7" s="6">
        <v>48800</v>
      </c>
      <c r="C7" t="s">
        <v>12</v>
      </c>
    </row>
    <row r="8" spans="1:3">
      <c r="A8">
        <v>5</v>
      </c>
      <c r="B8" s="6">
        <v>70900</v>
      </c>
      <c r="C8" t="s">
        <v>14</v>
      </c>
    </row>
    <row r="9" spans="1:3">
      <c r="A9">
        <v>6</v>
      </c>
      <c r="B9" s="6">
        <v>62400</v>
      </c>
      <c r="C9" t="s">
        <v>16</v>
      </c>
    </row>
    <row r="10" spans="1:3">
      <c r="A10">
        <v>7</v>
      </c>
      <c r="B10" s="6">
        <v>18500</v>
      </c>
      <c r="C10" t="s">
        <v>19</v>
      </c>
    </row>
    <row r="11" spans="1:3">
      <c r="A11">
        <v>8</v>
      </c>
      <c r="B11" s="6">
        <v>99500</v>
      </c>
      <c r="C11" t="s">
        <v>21</v>
      </c>
    </row>
    <row r="12" spans="1:3">
      <c r="A12">
        <v>9</v>
      </c>
      <c r="B12" s="6">
        <v>56600</v>
      </c>
      <c r="C12" t="s">
        <v>23</v>
      </c>
    </row>
    <row r="13" spans="1:3">
      <c r="A13">
        <v>10</v>
      </c>
      <c r="B13" s="6">
        <v>35500</v>
      </c>
      <c r="C13" t="s">
        <v>26</v>
      </c>
    </row>
    <row r="14" spans="1:3">
      <c r="A14">
        <v>11</v>
      </c>
      <c r="B14" s="6">
        <v>28400</v>
      </c>
      <c r="C14" t="s">
        <v>28</v>
      </c>
    </row>
    <row r="15" spans="1:3">
      <c r="A15">
        <v>12</v>
      </c>
      <c r="B15" s="6">
        <v>87000</v>
      </c>
      <c r="C15" t="s">
        <v>30</v>
      </c>
    </row>
    <row r="16" spans="1:3">
      <c r="A16">
        <v>13</v>
      </c>
      <c r="B16" s="6">
        <v>172900</v>
      </c>
      <c r="C16" t="s">
        <v>32</v>
      </c>
    </row>
    <row r="17" spans="1:3">
      <c r="A17">
        <v>14</v>
      </c>
      <c r="B17" s="6">
        <v>158900</v>
      </c>
      <c r="C17" t="s">
        <v>34</v>
      </c>
    </row>
    <row r="18" spans="1:3">
      <c r="A18">
        <v>15</v>
      </c>
      <c r="B18" s="6">
        <v>238600</v>
      </c>
      <c r="C18" t="s">
        <v>35</v>
      </c>
    </row>
    <row r="19" spans="1:3">
      <c r="A19">
        <v>16</v>
      </c>
      <c r="B19" s="6">
        <v>413500</v>
      </c>
      <c r="C19" t="s">
        <v>37</v>
      </c>
    </row>
    <row r="20" spans="1:3">
      <c r="A20">
        <v>17</v>
      </c>
      <c r="B20" s="6">
        <v>34500</v>
      </c>
      <c r="C20" t="s">
        <v>38</v>
      </c>
    </row>
    <row r="21" spans="1:3">
      <c r="A21">
        <v>18</v>
      </c>
      <c r="B21" s="6">
        <v>244700</v>
      </c>
      <c r="C21" t="s">
        <v>40</v>
      </c>
    </row>
    <row r="22" spans="1:3">
      <c r="A22">
        <v>19</v>
      </c>
      <c r="B22" s="6">
        <v>52300</v>
      </c>
      <c r="C22" t="s">
        <v>42</v>
      </c>
    </row>
    <row r="23" spans="1:3">
      <c r="A23">
        <v>20</v>
      </c>
      <c r="B23" s="6">
        <v>47200</v>
      </c>
      <c r="C23" t="s">
        <v>45</v>
      </c>
    </row>
    <row r="24" spans="1:3">
      <c r="A24" t="s">
        <v>94</v>
      </c>
      <c r="B24" s="6">
        <v>1965300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978C-F9EB-438B-92D7-99ACF978641B}">
  <dimension ref="A3:C15"/>
  <sheetViews>
    <sheetView workbookViewId="0">
      <selection activeCell="A3" sqref="A3"/>
    </sheetView>
  </sheetViews>
  <sheetFormatPr defaultRowHeight="15"/>
  <cols>
    <col min="1" max="1" width="14" bestFit="1" customWidth="1"/>
    <col min="2" max="2" width="15.5703125" bestFit="1" customWidth="1"/>
    <col min="3" max="3" width="15.140625" bestFit="1" customWidth="1"/>
  </cols>
  <sheetData>
    <row r="3" spans="1:3">
      <c r="A3" s="7" t="s">
        <v>47</v>
      </c>
      <c r="B3" t="s">
        <v>107</v>
      </c>
      <c r="C3" s="8" t="s">
        <v>108</v>
      </c>
    </row>
    <row r="4" spans="1:3">
      <c r="A4">
        <v>118</v>
      </c>
      <c r="B4" s="6">
        <v>29</v>
      </c>
      <c r="C4" t="str">
        <f>_xlfn.XLOOKUP(A4,Products!A:A,Products!B:B)</f>
        <v>Dumbbells</v>
      </c>
    </row>
    <row r="5" spans="1:3">
      <c r="A5">
        <v>108</v>
      </c>
      <c r="B5" s="6">
        <v>23</v>
      </c>
      <c r="C5" t="str">
        <f>_xlfn.XLOOKUP(A5,Products!A:A,Products!B:B)</f>
        <v>Power Bank</v>
      </c>
    </row>
    <row r="6" spans="1:3">
      <c r="A6">
        <v>113</v>
      </c>
      <c r="B6" s="6">
        <v>22</v>
      </c>
      <c r="C6" t="str">
        <f>_xlfn.XLOOKUP(A6,Products!A:A,Products!B:B)</f>
        <v>Backpack</v>
      </c>
    </row>
    <row r="7" spans="1:3">
      <c r="A7">
        <v>107</v>
      </c>
      <c r="B7" s="6">
        <v>20</v>
      </c>
      <c r="C7" t="str">
        <f>_xlfn.XLOOKUP(A7,Products!A:A,Products!B:B)</f>
        <v>Phone Stand</v>
      </c>
    </row>
    <row r="8" spans="1:3">
      <c r="A8">
        <v>102</v>
      </c>
      <c r="B8" s="6">
        <v>18</v>
      </c>
      <c r="C8" t="str">
        <f>_xlfn.XLOOKUP(A8,Products!A:A,Products!B:B)</f>
        <v>Wireless Mouse</v>
      </c>
    </row>
    <row r="9" spans="1:3">
      <c r="A9">
        <v>112</v>
      </c>
      <c r="B9" s="6">
        <v>18</v>
      </c>
      <c r="C9" t="str">
        <f>_xlfn.XLOOKUP(A9,Products!A:A,Products!B:B)</f>
        <v>Table Lamp</v>
      </c>
    </row>
    <row r="10" spans="1:3">
      <c r="A10">
        <v>114</v>
      </c>
      <c r="B10" s="6">
        <v>18</v>
      </c>
      <c r="C10" t="str">
        <f>_xlfn.XLOOKUP(A10,Products!A:A,Products!B:B)</f>
        <v>Travel Bag</v>
      </c>
    </row>
    <row r="11" spans="1:3">
      <c r="A11">
        <v>120</v>
      </c>
      <c r="B11" s="6">
        <v>17</v>
      </c>
      <c r="C11" t="str">
        <f>_xlfn.XLOOKUP(A11,Products!A:A,Products!B:B)</f>
        <v>Jeans</v>
      </c>
    </row>
    <row r="12" spans="1:3">
      <c r="A12">
        <v>109</v>
      </c>
      <c r="B12" s="6">
        <v>17</v>
      </c>
      <c r="C12" t="str">
        <f>_xlfn.XLOOKUP(A12,Products!A:A,Products!B:B)</f>
        <v>Office Chair</v>
      </c>
    </row>
    <row r="13" spans="1:3">
      <c r="A13">
        <v>115</v>
      </c>
      <c r="B13" s="6">
        <v>17</v>
      </c>
      <c r="C13" t="str">
        <f>_xlfn.XLOOKUP(A13,Products!A:A,Products!B:B)</f>
        <v>Wallet</v>
      </c>
    </row>
    <row r="14" spans="1:3">
      <c r="A14">
        <v>117</v>
      </c>
      <c r="B14" s="6">
        <v>17</v>
      </c>
      <c r="C14" t="str">
        <f>_xlfn.XLOOKUP(A14,Products!A:A,Products!B:B)</f>
        <v>Yoga Mat</v>
      </c>
    </row>
    <row r="15" spans="1:3">
      <c r="A15" t="s">
        <v>94</v>
      </c>
      <c r="B15" s="6">
        <v>216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55FB-728E-40F3-BF79-AB9A2D0827C4}">
  <dimension ref="A3:B16"/>
  <sheetViews>
    <sheetView workbookViewId="0">
      <selection activeCell="A3" sqref="A3"/>
    </sheetView>
  </sheetViews>
  <sheetFormatPr defaultRowHeight="15"/>
  <cols>
    <col min="1" max="1" width="11.7109375" bestFit="1" customWidth="1"/>
    <col min="2" max="3" width="14.7109375" bestFit="1" customWidth="1"/>
  </cols>
  <sheetData>
    <row r="3" spans="1:2">
      <c r="A3" s="7" t="s">
        <v>96</v>
      </c>
      <c r="B3" t="s">
        <v>93</v>
      </c>
    </row>
    <row r="4" spans="1:2">
      <c r="A4">
        <v>1</v>
      </c>
      <c r="B4" s="6">
        <v>90100</v>
      </c>
    </row>
    <row r="5" spans="1:2">
      <c r="A5">
        <v>2</v>
      </c>
      <c r="B5" s="6">
        <v>136500</v>
      </c>
    </row>
    <row r="6" spans="1:2">
      <c r="A6">
        <v>3</v>
      </c>
      <c r="B6" s="6">
        <v>194100</v>
      </c>
    </row>
    <row r="7" spans="1:2">
      <c r="A7">
        <v>4</v>
      </c>
      <c r="B7" s="6">
        <v>81700</v>
      </c>
    </row>
    <row r="8" spans="1:2">
      <c r="A8">
        <v>5</v>
      </c>
      <c r="B8" s="6">
        <v>233900</v>
      </c>
    </row>
    <row r="9" spans="1:2">
      <c r="A9">
        <v>6</v>
      </c>
      <c r="B9" s="6">
        <v>320900</v>
      </c>
    </row>
    <row r="10" spans="1:2">
      <c r="A10">
        <v>7</v>
      </c>
      <c r="B10" s="6">
        <v>271000</v>
      </c>
    </row>
    <row r="11" spans="1:2">
      <c r="A11">
        <v>8</v>
      </c>
      <c r="B11" s="6">
        <v>123600</v>
      </c>
    </row>
    <row r="12" spans="1:2">
      <c r="A12">
        <v>9</v>
      </c>
      <c r="B12" s="6">
        <v>204200</v>
      </c>
    </row>
    <row r="13" spans="1:2">
      <c r="A13">
        <v>10</v>
      </c>
      <c r="B13" s="6">
        <v>80200</v>
      </c>
    </row>
    <row r="14" spans="1:2">
      <c r="A14">
        <v>11</v>
      </c>
      <c r="B14" s="6">
        <v>62900</v>
      </c>
    </row>
    <row r="15" spans="1:2">
      <c r="A15">
        <v>12</v>
      </c>
      <c r="B15" s="6">
        <v>166200</v>
      </c>
    </row>
    <row r="16" spans="1:2">
      <c r="A16" t="s">
        <v>94</v>
      </c>
      <c r="B16" s="6">
        <v>1965300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EE03-A5F5-426C-B900-AE0CC0750257}">
  <dimension ref="A3:D16"/>
  <sheetViews>
    <sheetView workbookViewId="0">
      <selection activeCell="A3" sqref="A3:B16"/>
    </sheetView>
  </sheetViews>
  <sheetFormatPr defaultRowHeight="15"/>
  <cols>
    <col min="1" max="1" width="11.7109375" bestFit="1" customWidth="1"/>
    <col min="2" max="2" width="17" bestFit="1" customWidth="1"/>
    <col min="3" max="3" width="15.5703125" bestFit="1" customWidth="1"/>
  </cols>
  <sheetData>
    <row r="3" spans="1:4">
      <c r="A3" s="7" t="s">
        <v>101</v>
      </c>
      <c r="B3" t="s">
        <v>102</v>
      </c>
      <c r="D3" s="10"/>
    </row>
    <row r="4" spans="1:4">
      <c r="A4">
        <v>1</v>
      </c>
      <c r="B4" s="6">
        <v>12</v>
      </c>
    </row>
    <row r="5" spans="1:4">
      <c r="A5">
        <v>2</v>
      </c>
      <c r="B5" s="6">
        <v>10</v>
      </c>
    </row>
    <row r="6" spans="1:4">
      <c r="A6">
        <v>3</v>
      </c>
      <c r="B6" s="6">
        <v>20</v>
      </c>
    </row>
    <row r="7" spans="1:4">
      <c r="A7">
        <v>4</v>
      </c>
      <c r="B7" s="6">
        <v>9</v>
      </c>
    </row>
    <row r="8" spans="1:4">
      <c r="A8">
        <v>5</v>
      </c>
      <c r="B8" s="6">
        <v>13</v>
      </c>
    </row>
    <row r="9" spans="1:4">
      <c r="A9">
        <v>6</v>
      </c>
      <c r="B9" s="6">
        <v>14</v>
      </c>
    </row>
    <row r="10" spans="1:4">
      <c r="A10">
        <v>7</v>
      </c>
      <c r="B10" s="6">
        <v>9</v>
      </c>
    </row>
    <row r="11" spans="1:4">
      <c r="A11">
        <v>8</v>
      </c>
      <c r="B11" s="6">
        <v>14</v>
      </c>
    </row>
    <row r="12" spans="1:4">
      <c r="A12">
        <v>9</v>
      </c>
      <c r="B12" s="6">
        <v>11</v>
      </c>
    </row>
    <row r="13" spans="1:4">
      <c r="A13">
        <v>10</v>
      </c>
      <c r="B13" s="6">
        <v>12</v>
      </c>
    </row>
    <row r="14" spans="1:4">
      <c r="A14">
        <v>11</v>
      </c>
      <c r="B14" s="6">
        <v>8</v>
      </c>
    </row>
    <row r="15" spans="1:4">
      <c r="A15">
        <v>12</v>
      </c>
      <c r="B15" s="6">
        <v>18</v>
      </c>
    </row>
    <row r="16" spans="1:4">
      <c r="A16" t="s">
        <v>94</v>
      </c>
      <c r="B16" s="6">
        <v>150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4375-7AE5-4202-A63F-BF73515B2C57}">
  <dimension ref="A3:D16"/>
  <sheetViews>
    <sheetView workbookViewId="0">
      <selection activeCell="D16" sqref="A3:D16"/>
    </sheetView>
  </sheetViews>
  <sheetFormatPr defaultRowHeight="15"/>
  <cols>
    <col min="1" max="1" width="11.7109375" bestFit="1" customWidth="1"/>
    <col min="2" max="2" width="14.7109375" bestFit="1" customWidth="1"/>
    <col min="3" max="3" width="17" bestFit="1" customWidth="1"/>
  </cols>
  <sheetData>
    <row r="3" spans="1:4">
      <c r="A3" s="7" t="s">
        <v>101</v>
      </c>
      <c r="B3" t="s">
        <v>93</v>
      </c>
      <c r="C3" t="s">
        <v>104</v>
      </c>
      <c r="D3" s="8" t="s">
        <v>105</v>
      </c>
    </row>
    <row r="4" spans="1:4">
      <c r="A4">
        <v>1</v>
      </c>
      <c r="B4" s="6">
        <v>90100</v>
      </c>
      <c r="C4" s="6">
        <v>12</v>
      </c>
      <c r="D4">
        <f>B4/C4</f>
        <v>7508.333333333333</v>
      </c>
    </row>
    <row r="5" spans="1:4">
      <c r="A5">
        <v>2</v>
      </c>
      <c r="B5" s="6">
        <v>136500</v>
      </c>
      <c r="C5" s="6">
        <v>10</v>
      </c>
      <c r="D5">
        <f t="shared" ref="D5:D16" si="0">B5/C5</f>
        <v>13650</v>
      </c>
    </row>
    <row r="6" spans="1:4">
      <c r="A6">
        <v>3</v>
      </c>
      <c r="B6" s="6">
        <v>194100</v>
      </c>
      <c r="C6" s="6">
        <v>20</v>
      </c>
      <c r="D6">
        <f t="shared" si="0"/>
        <v>9705</v>
      </c>
    </row>
    <row r="7" spans="1:4">
      <c r="A7">
        <v>4</v>
      </c>
      <c r="B7" s="6">
        <v>81700</v>
      </c>
      <c r="C7" s="6">
        <v>9</v>
      </c>
      <c r="D7">
        <f t="shared" si="0"/>
        <v>9077.7777777777774</v>
      </c>
    </row>
    <row r="8" spans="1:4">
      <c r="A8">
        <v>5</v>
      </c>
      <c r="B8" s="6">
        <v>233900</v>
      </c>
      <c r="C8" s="6">
        <v>13</v>
      </c>
      <c r="D8">
        <f t="shared" si="0"/>
        <v>17992.307692307691</v>
      </c>
    </row>
    <row r="9" spans="1:4">
      <c r="A9">
        <v>6</v>
      </c>
      <c r="B9" s="6">
        <v>320900</v>
      </c>
      <c r="C9" s="6">
        <v>14</v>
      </c>
      <c r="D9">
        <f t="shared" si="0"/>
        <v>22921.428571428572</v>
      </c>
    </row>
    <row r="10" spans="1:4">
      <c r="A10">
        <v>7</v>
      </c>
      <c r="B10" s="6">
        <v>271000</v>
      </c>
      <c r="C10" s="6">
        <v>9</v>
      </c>
      <c r="D10">
        <f t="shared" si="0"/>
        <v>30111.111111111109</v>
      </c>
    </row>
    <row r="11" spans="1:4">
      <c r="A11">
        <v>8</v>
      </c>
      <c r="B11" s="6">
        <v>123600</v>
      </c>
      <c r="C11" s="6">
        <v>14</v>
      </c>
      <c r="D11">
        <f t="shared" si="0"/>
        <v>8828.5714285714294</v>
      </c>
    </row>
    <row r="12" spans="1:4">
      <c r="A12">
        <v>9</v>
      </c>
      <c r="B12" s="6">
        <v>204200</v>
      </c>
      <c r="C12" s="6">
        <v>11</v>
      </c>
      <c r="D12">
        <f t="shared" si="0"/>
        <v>18563.636363636364</v>
      </c>
    </row>
    <row r="13" spans="1:4">
      <c r="A13">
        <v>10</v>
      </c>
      <c r="B13" s="6">
        <v>80200</v>
      </c>
      <c r="C13" s="6">
        <v>12</v>
      </c>
      <c r="D13">
        <f t="shared" si="0"/>
        <v>6683.333333333333</v>
      </c>
    </row>
    <row r="14" spans="1:4">
      <c r="A14">
        <v>11</v>
      </c>
      <c r="B14" s="6">
        <v>62900</v>
      </c>
      <c r="C14" s="6">
        <v>8</v>
      </c>
      <c r="D14">
        <f t="shared" si="0"/>
        <v>7862.5</v>
      </c>
    </row>
    <row r="15" spans="1:4">
      <c r="A15">
        <v>12</v>
      </c>
      <c r="B15" s="6">
        <v>166200</v>
      </c>
      <c r="C15" s="6">
        <v>18</v>
      </c>
      <c r="D15">
        <f t="shared" si="0"/>
        <v>9233.3333333333339</v>
      </c>
    </row>
    <row r="16" spans="1:4">
      <c r="A16" t="s">
        <v>94</v>
      </c>
      <c r="B16" s="6">
        <v>1965300</v>
      </c>
      <c r="C16" s="6">
        <v>150</v>
      </c>
      <c r="D16" s="11">
        <f t="shared" si="0"/>
        <v>13102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2026-09-26T09:33:20Z</dcterms:created>
  <dcterms:modified xsi:type="dcterms:W3CDTF">2026-09-27T09:01:32Z</dcterms:modified>
  <cp:category/>
  <cp:contentStatus/>
</cp:coreProperties>
</file>